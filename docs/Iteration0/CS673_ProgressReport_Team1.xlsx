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hidden" name="studentName" sheetId="4" r:id="rId7"/>
    <sheet state="visible" name="Shaima Nimeri" sheetId="5" r:id="rId8"/>
    <sheet state="visible" name="Fatimah Hassan" sheetId="6" r:id="rId9"/>
    <sheet state="visible" name="Kolya Gavlishin" sheetId="7" r:id="rId10"/>
    <sheet state="visible" name="Kai Fernandes" sheetId="8" r:id="rId11"/>
  </sheets>
  <definedNames/>
  <calcPr/>
</workbook>
</file>

<file path=xl/sharedStrings.xml><?xml version="1.0" encoding="utf-8"?>
<sst xmlns="http://schemas.openxmlformats.org/spreadsheetml/2006/main" count="241" uniqueCount="134">
  <si>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</si>
  <si>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</si>
  <si>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</si>
  <si>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</si>
  <si>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</si>
  <si>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</si>
  <si>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</si>
  <si>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</si>
  <si>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</si>
  <si>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</si>
  <si>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</si>
  <si>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</si>
  <si>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</si>
  <si>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</si>
  <si>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</si>
  <si>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</si>
  <si>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</si>
  <si>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</si>
  <si>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</si>
  <si>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</si>
  <si>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</si>
  <si>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</si>
  <si>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</si>
  <si>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</si>
  <si>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 --&gt;</t>
  </si>
  <si>
    <t>Lines of code</t>
  </si>
  <si>
    <t>File / Class / Method count</t>
  </si>
  <si>
    <t>Cyclomatic complexity</t>
  </si>
  <si>
    <t>Test Coverage</t>
  </si>
  <si>
    <t># of test cases</t>
  </si>
  <si>
    <t>test pass rate</t>
  </si>
  <si>
    <t>Security findings (SAST)</t>
  </si>
  <si>
    <t>Code review turnaround</t>
  </si>
  <si>
    <t>Stories planned vs completed</t>
  </si>
  <si>
    <t>Defect rate (defects/KLOC)</t>
  </si>
  <si>
    <t>Defect density per module</t>
  </si>
  <si>
    <t>Defect resolution time</t>
  </si>
  <si>
    <t>Person-hours actual vs estimated</t>
  </si>
  <si>
    <t>05/04-05/-14</t>
  </si>
  <si>
    <t>Team met 2 times to discuss project deliverables and plan; Assigned roles and iter. 0 tasks; Completed iteration 0 documentation (SPPP, risk management plan, progress report, meeting minutes, presentation); Created user stories and imported them into jira; Configured git and set up repo; Proposed, researched, and reviewed system architecture</t>
  </si>
  <si>
    <t>None</t>
  </si>
  <si>
    <t>- Making sure documents meet course requirements
- Team disagreeing on backend choice for Ai work
- Teammates unfamiliar wiht different areas of the tech stack</t>
  </si>
  <si>
    <t>- Team lead adresses areas that do not meet documentation standards
- Team will meet to discuss which options are best for AI functionality
- Team members will research the areas that they are unfamiliar with</t>
  </si>
  <si>
    <t>N/A</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</si>
  <si>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</si>
  <si>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</si>
  <si>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</si>
  <si>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</si>
  <si>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</si>
  <si>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</si>
  <si>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</si>
  <si>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</si>
  <si>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Shaima</t>
  </si>
  <si>
    <t>SPPP sections 1-3 and 4.a</t>
  </si>
  <si>
    <t>Used AI to be able to communicate design ideas and vision clearly and professionally.</t>
  </si>
  <si>
    <t>Kai</t>
  </si>
  <si>
    <t>ChatGPT</t>
  </si>
  <si>
    <t>SPPP section 5</t>
  </si>
  <si>
    <t>Accepted, slight modification</t>
  </si>
  <si>
    <t>Modification was adjusting the recommended branching strategy to match our team's decision</t>
  </si>
  <si>
    <t>Prompt summary: Based on a 4 person team for a six week project, what are the ideal git branching strategies
Output summary: Github flow, Gitflow, Trunk-based</t>
  </si>
  <si>
    <t>Fatimah</t>
  </si>
  <si>
    <t>SPPP section 6</t>
  </si>
  <si>
    <t>AI assisted with metric definitions and PR checklist structure, metrics and tests adapted to the project , checklist reviewed and refined.</t>
  </si>
  <si>
    <t>This sheet need to be filled by the end of the semester. You should clearly describe your contribution to 
the group project in each category in the whole semester.</t>
  </si>
  <si>
    <t xml:space="preserve">StudentName </t>
  </si>
  <si>
    <t>SPPP Document</t>
  </si>
  <si>
    <t>Requirement Analysis on Jira</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</si>
  <si>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</si>
  <si>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</si>
  <si>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</si>
  <si>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</si>
  <si>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</si>
  <si>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</si>
  <si>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</si>
  <si>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</si>
  <si>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Kai Fernandes</t>
  </si>
  <si>
    <t>Configuration management plan, Risk management plan, general restructuring of SPPP (deleting directions, normalizing format)</t>
  </si>
  <si>
    <t>Iteration 0 slides and presentation</t>
  </si>
  <si>
    <t>Making agenda for meetings and keeping team on track, as well as keeping minutes; Ensuring documentation is consistent and up to course standards</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</si>
  <si>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</si>
  <si>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</si>
  <si>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</si>
  <si>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</si>
  <si>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</si>
  <si>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</si>
  <si>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</si>
  <si>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</si>
  <si>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</si>
  <si>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</si>
  <si>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</si>
  <si>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</si>
  <si>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</si>
  <si>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</si>
  <si>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</si>
  <si>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</si>
  <si>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</si>
  <si>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</si>
  <si>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</si>
  <si>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</si>
  <si>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</si>
  <si>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05/09-05/13</t>
  </si>
  <si>
    <t xml:space="preserve">0 - learn jira used AI for that 
1 - make project plan, setup zoom meeting
2 - designed user stories
5- spoke to potential app users to get an idea about expectations and problems </t>
  </si>
  <si>
    <t>Used Claud to make user stories understandable for better communiction and create document for team github usage</t>
  </si>
  <si>
    <t>1. Wrote sections 1-3 and   section 4 a-c in SPPP  
2. Created user stories 
3.Attended 2 meetings to discuss plans for project success</t>
  </si>
  <si>
    <t>making sure all requirements are met and no documents are missed</t>
  </si>
  <si>
    <t xml:space="preserve">check with my group in zoom meeting </t>
  </si>
  <si>
    <t>3-implementation 4 communtion/ managment  4 test</t>
  </si>
  <si>
    <r>
      <rPr>
        <rFont val="Arial"/>
        <b/>
      </rPr>
      <t>Your Lead Roles</t>
    </r>
    <r>
      <rPr>
        <rFont val="Arial"/>
      </rPr>
      <t>: Security lead and  Configuration Co-lead</t>
    </r>
  </si>
  <si>
    <t>05/10 - 05/14</t>
  </si>
  <si>
    <t>0 - Watched intro RAG videos, read LangChain.js docs, started AI/LLM learning plan
1 - Participated in team brainstorm on project idea; contributed Patient Pathway AI proposal combining workflow + RAG
2 - Reviewed proposed system architecture (React + Express + LangChain.js + ChromaDB + PostgreSQL)
5 - Posted class introduction on Discord; coordinated with team on Discord; discussed scope boundary
6 - Lab 1: configured Git, cloned team repo, created lab1 branch, edited team.md, pushed PR
7 - Drafted Section 6 (Quality Assurance Plan) of the SPPP</t>
  </si>
  <si>
    <t>Used Claude to:  (1) brainstorm 
and stress-test project topic options, (3) explain LangChain.js trade-offs 
vs Python for our backend choice, (4) draft Section 6 (QA Plan) structure 
and exam-prep companion. Verified all suggestions, adjusted to my voice 
and team context. Useful for accelerating drafting; verification still 
required for accuracy and team fit.</t>
  </si>
  <si>
    <t>1. Lab 1 completed: lab1 branch pushed with team.md introduction.
2. Project topic proposal contributed (Patient Pathway AI: workflow + RAG); 
   accepted by team.
3. Section 6 (QA Plan) drafted for the SPPP, including metrics, coding 
   standards, code review checklist, testing strategy, defect management.
4. Volunteered for Security Lead role with Configuration Co-Lead support.</t>
  </si>
  <si>
    <t>1. Backend choice (Express + LangChain.js) is less mature than Python 
   for AI work --- tutorial coverage and ecosystem are weaker; risk of 
   friction during RAG implementation.
2. Team is still waiting on confirmation of one teammate (Jianing); 
   role assignments not finalized.
3. New to RAG, embeddings, and vector databases — learning curve 
   ahead of Iteration 1.</t>
  </si>
  <si>
    <t>1. Risk documented in SPPP Section 4.b. Fallback plan: pivot to Express 
   + small Python AI microservice (Option B) if LangChain.js friction 
   appears in Iter 1 Week 1.
2. Executing structured 4-week AI learning plan: DeepLearning.AI LangChain 
   course, RAG tutorial, hands-on PDF Q&amp;A build before Iter 1 starts.</t>
  </si>
  <si>
    <t>0 - Continue LangChain.js + RAG learning (DeepLearning.AI course, PDF 
    chat tutorial)
2 - Help finalize architecture diagram and threat model for FR-1 (login)
5 - Attend team meeting; help finalize SPPP and submit Iteration 0 release
6 - As Configuration Co-Lead: set up branch protection, basic GitHub 
    Actions CI workflow, .gitignore, PR template
6 - As Security Lead: add npm-audit + CodeQL workflow to CI
7 - Final review of SPPP before submission</t>
  </si>
  <si>
    <t>~12</t>
  </si>
  <si>
    <r>
      <rPr>
        <rFont val="Arial"/>
        <b/>
      </rPr>
      <t>Your Lead Roles</t>
    </r>
    <r>
      <rPr>
        <rFont val="Arial"/>
      </rPr>
      <t>: Backup Project Leader, requirement leader</t>
    </r>
  </si>
  <si>
    <t>5/05-5/14</t>
  </si>
  <si>
    <t>0 - research testing and QA strategies 1 - work with team on project requirements 2 - work with team on project design 7 - prepare and present interation 0</t>
  </si>
  <si>
    <t>No significant AI use this week</t>
  </si>
  <si>
    <t>1. Reviewed SPPP contributions of other members and gave my feedback during the meeting 2. Met with Kai to plan out and record the presentation 3. Set up git and pushed to team's repo 4. Volunteered for QA Lead and Design and Implementation Co-Lead</t>
  </si>
  <si>
    <t xml:space="preserve">1. Not familiar with QA and testing strategies </t>
  </si>
  <si>
    <t>1. I researched various testing strategies and reviewed the SPPP to familiarize myself with them</t>
  </si>
  <si>
    <t>0 - continue to research testing strategies and processes</t>
  </si>
  <si>
    <r>
      <rPr>
        <rFont val="Arial"/>
        <b/>
      </rPr>
      <t>Your Lead Roles</t>
    </r>
    <r>
      <rPr>
        <rFont val="Arial"/>
      </rPr>
      <t>: Team lead, Configuration Co-lead</t>
    </r>
  </si>
  <si>
    <t>05/05 - 05/14</t>
  </si>
  <si>
    <t>0 - relearning git and jira
5 - Organizing team meeting, document management, risk management sheet, SPPP, recorded and created presentation, submitted documentation
6 - Lab 1: configured Git, edited team.md, created PR for lab1</t>
  </si>
  <si>
    <t>ChatGPT - helped troubleshoot git commands and finding files, used the command given to reset a branch</t>
  </si>
  <si>
    <t>Wrote configuration management section of SPPP and completed risk management sheet and summary for SPPP, restructured SPPP to have consistent formatting and follow instructions (added titles for requirements and made sure they were in the story format), managed progress report, worked with Kolya to create and present interation 0 presentation</t>
  </si>
  <si>
    <t>Unfamiliar with react</t>
  </si>
  <si>
    <t>Learn react basics through independent research</t>
  </si>
  <si>
    <t>Continue learning necessary tools from the tech stack, lead documentation and task delegation, complete user stories</t>
  </si>
  <si>
    <t>~13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</si>
</sst>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9">
    <font>
      <sz val="10.0"/>
      <color rgb="FF000000"/>
      <name val="Arial"/>
    </font>
    <font>
      <b/>
      <color rgb="FFFF0000"/>
      <name val="Arial"/>
    </font>
    <font>
      <b/>
      <name val="Arial"/>
    </font>
    <font>
      <b/>
    </font>
    <font>
      <b/>
      <color rgb="FFFF0000"/>
    </font>
    <font/>
    <font>
      <color rgb="FFFF0000"/>
      <name val="Arial"/>
    </font>
    <font>
      <b/>
      <name val="Calibri"/>
    </font>
    <font>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164" xfId="0" applyAlignment="1" applyFont="1" applyNumberFormat="1">
      <alignment readingOrder="0" shrinkToFit="0" wrapText="1"/>
    </xf>
    <xf borderId="1" fillId="0" fontId="1" numFmtId="0" xfId="0" applyAlignment="1" applyBorder="1" applyFont="1">
      <alignment readingOrder="0" shrinkToFit="0" vertical="top" wrapText="1"/>
    </xf>
    <xf borderId="1" fillId="0" fontId="6" numFmtId="0" xfId="0" applyAlignment="1" applyBorder="1" applyFont="1">
      <alignment shrinkToFit="0" vertical="top" wrapText="1"/>
    </xf>
    <xf borderId="0" fillId="0" fontId="6" numFmtId="0" xfId="0" applyAlignment="1" applyFont="1">
      <alignment shrinkToFit="0" vertical="bottom" wrapText="1"/>
    </xf>
    <xf borderId="0" fillId="0" fontId="2" numFmtId="0" xfId="0" applyAlignment="1" applyFont="1">
      <alignment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1" fillId="0" fontId="7" numFmtId="0" xfId="0" applyAlignment="1" applyBorder="1" applyFont="1">
      <alignment shrinkToFit="0" vertical="bottom" wrapText="1"/>
    </xf>
    <xf borderId="0" fillId="0" fontId="8" numFmtId="0" xfId="0" applyAlignment="1" applyFont="1">
      <alignment shrinkToFit="0" vertical="bottom" wrapText="1"/>
    </xf>
    <xf borderId="0" fillId="2" fontId="1" numFmtId="0" xfId="0" applyAlignment="1" applyFill="1" applyFont="1">
      <alignment readingOrder="0" shrinkToFit="0" vertical="bottom" wrapText="0"/>
    </xf>
    <xf borderId="0" fillId="2" fontId="8" numFmtId="0" xfId="0" applyAlignment="1" applyFont="1">
      <alignment readingOrder="0" shrinkToFit="0" vertical="bottom" wrapText="1"/>
    </xf>
    <xf borderId="0" fillId="0" fontId="8" numFmtId="0" xfId="0" applyAlignment="1" applyFont="1">
      <alignment shrinkToFit="0" vertical="bottom" wrapText="1"/>
    </xf>
    <xf borderId="0" fillId="0" fontId="8" numFmtId="0" xfId="0" applyAlignment="1" applyFont="1">
      <alignment readingOrder="0" shrinkToFit="0" vertical="bottom" wrapText="1"/>
    </xf>
    <xf borderId="2" fillId="0" fontId="2" numFmtId="0" xfId="0" applyAlignment="1" applyBorder="1" applyFont="1">
      <alignment readingOrder="0" shrinkToFit="0" vertical="bottom" wrapText="1"/>
    </xf>
    <xf borderId="0" fillId="0" fontId="3" numFmtId="0" xfId="0" applyFont="1"/>
    <xf borderId="0" fillId="2" fontId="5" numFmtId="0" xfId="0" applyAlignment="1" applyFont="1">
      <alignment readingOrder="0" shrinkToFit="0" wrapText="1"/>
    </xf>
    <xf borderId="0" fillId="2" fontId="5" numFmtId="0" xfId="0" applyAlignment="1" applyFont="1">
      <alignment shrinkToFit="0" wrapText="1"/>
    </xf>
    <xf borderId="0" fillId="2" fontId="5" numFmtId="0" xfId="0" applyFont="1"/>
    <xf borderId="0" fillId="3" fontId="1" numFmtId="0" xfId="0" applyAlignment="1" applyFill="1" applyFont="1">
      <alignment readingOrder="0" shrinkToFit="0" vertical="bottom" wrapText="0"/>
    </xf>
    <xf borderId="0" fillId="3" fontId="8" numFmtId="0" xfId="0" applyAlignment="1" applyFont="1">
      <alignment readingOrder="0" shrinkToFit="0" vertical="bottom" wrapText="1"/>
    </xf>
    <xf borderId="0" fillId="3" fontId="8" numFmtId="0" xfId="0" applyAlignment="1" applyFont="1">
      <alignment shrinkToFit="0" vertical="bottom" wrapText="1"/>
    </xf>
    <xf borderId="0" fillId="3" fontId="5" numFmtId="0" xfId="0" applyAlignment="1" applyFont="1">
      <alignment readingOrder="0" shrinkToFit="0" wrapText="1"/>
    </xf>
    <xf borderId="0" fillId="3" fontId="5" numFmtId="0" xfId="0" applyAlignment="1" applyFont="1">
      <alignment shrinkToFit="0" wrapText="1"/>
    </xf>
    <xf borderId="0" fillId="3" fontId="5" numFmtId="0" xfId="0" applyFont="1"/>
    <xf borderId="0" fillId="0" fontId="5" numFmtId="0" xfId="0" applyAlignment="1" applyFont="1">
      <alignment readingOrder="0"/>
    </xf>
    <xf borderId="0" fillId="0" fontId="5" numFmtId="0" xfId="0" applyAlignment="1" applyFont="1">
      <alignment readingOrder="0"/>
    </xf>
    <xf borderId="0" fillId="2" fontId="1" numFmtId="0" xfId="0" applyAlignment="1" applyFont="1">
      <alignment readingOrder="0" shrinkToFit="0" vertical="bottom" wrapText="1"/>
    </xf>
    <xf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3" max="3" width="49.38"/>
    <col customWidth="1" min="4" max="4" width="22.13"/>
    <col customWidth="1" min="5" max="5" width="25.75"/>
    <col customWidth="1" min="6" max="6" width="27.0"/>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2" width="6.88"/>
    <col customWidth="1" min="33" max="33" width="13.63"/>
  </cols>
  <sheetData>
    <row r="1">
      <c r="A1" s="1" t="s">
        <v>0</v>
      </c>
      <c r="B1" s="2"/>
      <c r="C1" s="3"/>
      <c r="D1" s="3"/>
      <c r="E1" s="3"/>
      <c r="F1" s="3"/>
      <c r="G1" s="3"/>
      <c r="H1" s="3"/>
      <c r="I1" s="3"/>
      <c r="J1" s="3"/>
      <c r="K1" s="3"/>
      <c r="L1" s="2"/>
      <c r="M1" s="2"/>
      <c r="N1" s="2"/>
      <c r="O1" s="4"/>
      <c r="P1" s="4"/>
      <c r="Q1" s="4"/>
      <c r="R1" s="4"/>
      <c r="S1" s="4"/>
      <c r="T1" s="4"/>
      <c r="U1" s="4"/>
      <c r="V1" s="4"/>
      <c r="W1" s="5"/>
      <c r="X1" s="5"/>
      <c r="Y1" s="5"/>
      <c r="Z1" s="5"/>
      <c r="AA1" s="5"/>
      <c r="AB1" s="5"/>
      <c r="AC1" s="5"/>
      <c r="AD1" s="5"/>
      <c r="AE1" s="5"/>
      <c r="AF1" s="5"/>
      <c r="AG1" s="5"/>
      <c r="AH1" s="5"/>
      <c r="AI1" s="5"/>
      <c r="AJ1" s="5"/>
    </row>
    <row r="2" ht="61.5" customHeight="1">
      <c r="A2" s="1" t="s">
        <v>1</v>
      </c>
      <c r="B2" s="2"/>
      <c r="C2" s="3"/>
      <c r="D2" s="3"/>
      <c r="E2" s="3"/>
      <c r="F2" s="3"/>
      <c r="G2" s="3"/>
      <c r="H2" s="3"/>
      <c r="I2" s="3"/>
      <c r="J2" s="3"/>
      <c r="K2" s="3"/>
      <c r="L2" s="2"/>
      <c r="M2" s="2"/>
      <c r="N2" s="2"/>
      <c r="O2" s="4"/>
      <c r="P2" s="4"/>
      <c r="Q2" s="4"/>
      <c r="R2" s="4"/>
      <c r="S2" s="4"/>
      <c r="T2" s="4"/>
      <c r="U2" s="4"/>
      <c r="V2" s="4"/>
      <c r="W2" s="5"/>
      <c r="X2" s="5"/>
      <c r="Y2" s="5"/>
      <c r="Z2" s="5"/>
      <c r="AA2" s="5"/>
      <c r="AB2" s="5"/>
      <c r="AC2" s="5"/>
      <c r="AD2" s="5"/>
      <c r="AE2" s="5"/>
      <c r="AF2" s="5"/>
      <c r="AG2" s="5"/>
      <c r="AH2" s="5"/>
      <c r="AI2" s="5"/>
      <c r="AJ2" s="5"/>
    </row>
    <row r="3">
      <c r="A3" s="2" t="s">
        <v>2</v>
      </c>
      <c r="B3" s="2" t="s">
        <v>3</v>
      </c>
      <c r="C3" s="3" t="s">
        <v>4</v>
      </c>
      <c r="D3" s="3" t="s">
        <v>5</v>
      </c>
      <c r="E3" s="3" t="s">
        <v>6</v>
      </c>
      <c r="F3" s="3" t="s">
        <v>7</v>
      </c>
      <c r="G3" s="3" t="s">
        <v>8</v>
      </c>
      <c r="H3" s="3" t="s">
        <v>9</v>
      </c>
      <c r="I3" s="3" t="s">
        <v>10</v>
      </c>
      <c r="J3" s="3" t="s">
        <v>11</v>
      </c>
      <c r="K3" s="3" t="s">
        <v>12</v>
      </c>
      <c r="L3" s="2" t="s">
        <v>13</v>
      </c>
      <c r="M3" s="2" t="s">
        <v>14</v>
      </c>
      <c r="N3" s="2" t="s">
        <v>15</v>
      </c>
      <c r="O3" s="4" t="s">
        <v>16</v>
      </c>
      <c r="P3" s="4" t="s">
        <v>17</v>
      </c>
      <c r="Q3" s="4" t="s">
        <v>18</v>
      </c>
      <c r="R3" s="4" t="s">
        <v>19</v>
      </c>
      <c r="S3" s="4" t="s">
        <v>20</v>
      </c>
      <c r="T3" s="4" t="s">
        <v>21</v>
      </c>
      <c r="U3" s="4" t="s">
        <v>22</v>
      </c>
      <c r="V3" s="2" t="s">
        <v>23</v>
      </c>
      <c r="W3" s="6" t="s">
        <v>24</v>
      </c>
      <c r="X3" s="3" t="s">
        <v>25</v>
      </c>
      <c r="Y3" s="3" t="s">
        <v>26</v>
      </c>
      <c r="Z3" s="3" t="s">
        <v>27</v>
      </c>
      <c r="AA3" s="3" t="s">
        <v>28</v>
      </c>
      <c r="AB3" s="3" t="s">
        <v>29</v>
      </c>
      <c r="AC3" s="3" t="s">
        <v>30</v>
      </c>
      <c r="AD3" s="3" t="s">
        <v>31</v>
      </c>
      <c r="AE3" s="3" t="s">
        <v>32</v>
      </c>
      <c r="AF3" s="3" t="s">
        <v>33</v>
      </c>
      <c r="AG3" s="3" t="s">
        <v>34</v>
      </c>
      <c r="AH3" s="3" t="s">
        <v>35</v>
      </c>
      <c r="AI3" s="3" t="s">
        <v>36</v>
      </c>
      <c r="AJ3" s="3" t="s">
        <v>37</v>
      </c>
    </row>
    <row r="4">
      <c r="A4" s="7">
        <v>0.0</v>
      </c>
      <c r="B4" s="7" t="s">
        <v>38</v>
      </c>
      <c r="C4" s="7" t="s">
        <v>39</v>
      </c>
      <c r="D4" s="7" t="s">
        <v>40</v>
      </c>
      <c r="E4" s="7" t="s">
        <v>41</v>
      </c>
      <c r="F4" s="7" t="s">
        <v>42</v>
      </c>
      <c r="G4" s="7" t="s">
        <v>43</v>
      </c>
      <c r="H4" s="7" t="s">
        <v>43</v>
      </c>
      <c r="I4" s="7" t="s">
        <v>43</v>
      </c>
      <c r="J4" s="7" t="s">
        <v>43</v>
      </c>
      <c r="K4" s="7" t="s">
        <v>43</v>
      </c>
      <c r="L4" s="7">
        <v>63.5</v>
      </c>
      <c r="M4" s="7">
        <v>53.5</v>
      </c>
      <c r="N4" s="7">
        <v>2.5</v>
      </c>
      <c r="O4" s="7">
        <v>5.0</v>
      </c>
      <c r="P4" s="7">
        <v>22.0</v>
      </c>
      <c r="Q4" s="7">
        <v>2.5</v>
      </c>
      <c r="R4" s="8"/>
      <c r="S4" s="8"/>
      <c r="T4" s="7">
        <v>13.5</v>
      </c>
      <c r="U4" s="7">
        <v>1.5</v>
      </c>
      <c r="V4" s="7">
        <v>4.0</v>
      </c>
      <c r="W4" s="8"/>
      <c r="X4" s="7" t="s">
        <v>43</v>
      </c>
      <c r="Y4" s="7" t="s">
        <v>43</v>
      </c>
      <c r="Z4" s="7" t="s">
        <v>43</v>
      </c>
      <c r="AA4" s="7" t="s">
        <v>43</v>
      </c>
      <c r="AB4" s="7" t="s">
        <v>43</v>
      </c>
      <c r="AC4" s="7" t="s">
        <v>43</v>
      </c>
      <c r="AD4" s="7" t="s">
        <v>43</v>
      </c>
      <c r="AE4" s="7" t="s">
        <v>43</v>
      </c>
      <c r="AF4" s="7" t="s">
        <v>43</v>
      </c>
      <c r="AG4" s="7" t="s">
        <v>43</v>
      </c>
      <c r="AH4" s="7" t="s">
        <v>43</v>
      </c>
      <c r="AI4" s="7" t="s">
        <v>43</v>
      </c>
      <c r="AJ4" s="7" t="s">
        <v>43</v>
      </c>
    </row>
    <row r="5">
      <c r="A5" s="7">
        <v>1.0</v>
      </c>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c r="A6" s="7">
        <v>2.0</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 r="A7" s="7">
        <v>3.0</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c r="A8" s="7"/>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4" width="19.88"/>
    <col customWidth="1" min="6" max="6" width="29.88"/>
    <col customWidth="1" min="7" max="7" width="41.5"/>
  </cols>
  <sheetData>
    <row r="1">
      <c r="A1" s="7" t="s">
        <v>44</v>
      </c>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ht="58.5" customHeight="1">
      <c r="A3" s="7" t="s">
        <v>45</v>
      </c>
      <c r="B3" s="7" t="s">
        <v>46</v>
      </c>
      <c r="C3" s="7" t="s">
        <v>47</v>
      </c>
      <c r="D3" s="7" t="s">
        <v>48</v>
      </c>
      <c r="E3" s="7" t="s">
        <v>49</v>
      </c>
      <c r="F3" s="7" t="s">
        <v>50</v>
      </c>
      <c r="G3" s="7" t="s">
        <v>51</v>
      </c>
      <c r="H3" s="8"/>
      <c r="I3" s="8"/>
      <c r="J3" s="8"/>
      <c r="K3" s="8"/>
      <c r="L3" s="8"/>
      <c r="M3" s="8"/>
      <c r="N3" s="8"/>
      <c r="O3" s="8"/>
      <c r="P3" s="8"/>
      <c r="Q3" s="8"/>
      <c r="R3" s="8"/>
      <c r="S3" s="8"/>
      <c r="T3" s="8"/>
      <c r="U3" s="8"/>
      <c r="V3" s="8"/>
      <c r="W3" s="8"/>
      <c r="X3" s="8"/>
      <c r="Y3" s="8"/>
      <c r="Z3" s="8"/>
    </row>
    <row r="4">
      <c r="A4" s="7" t="s">
        <v>52</v>
      </c>
      <c r="B4" s="9">
        <v>46153.0</v>
      </c>
      <c r="C4" s="7"/>
      <c r="D4" s="7" t="s">
        <v>53</v>
      </c>
      <c r="E4" s="7"/>
      <c r="F4" s="8"/>
      <c r="G4" s="7" t="s">
        <v>54</v>
      </c>
      <c r="H4" s="8"/>
      <c r="I4" s="8"/>
      <c r="J4" s="8"/>
      <c r="K4" s="8"/>
      <c r="L4" s="8"/>
      <c r="M4" s="8"/>
      <c r="N4" s="8"/>
      <c r="O4" s="8"/>
      <c r="P4" s="8"/>
      <c r="Q4" s="8"/>
      <c r="R4" s="8"/>
      <c r="S4" s="8"/>
      <c r="T4" s="8"/>
      <c r="U4" s="8"/>
      <c r="V4" s="8"/>
      <c r="W4" s="8"/>
      <c r="X4" s="8"/>
      <c r="Y4" s="8"/>
      <c r="Z4" s="8"/>
    </row>
    <row r="5">
      <c r="A5" s="7" t="s">
        <v>55</v>
      </c>
      <c r="B5" s="9">
        <v>46153.0</v>
      </c>
      <c r="C5" s="7" t="s">
        <v>56</v>
      </c>
      <c r="D5" s="7" t="s">
        <v>57</v>
      </c>
      <c r="E5" s="7" t="s">
        <v>58</v>
      </c>
      <c r="F5" s="7" t="s">
        <v>59</v>
      </c>
      <c r="G5" s="7" t="s">
        <v>60</v>
      </c>
      <c r="H5" s="8"/>
      <c r="I5" s="8"/>
      <c r="J5" s="8"/>
      <c r="K5" s="8"/>
      <c r="L5" s="8"/>
      <c r="M5" s="8"/>
      <c r="N5" s="8"/>
      <c r="O5" s="8"/>
      <c r="P5" s="8"/>
      <c r="Q5" s="8"/>
      <c r="R5" s="8"/>
      <c r="S5" s="8"/>
      <c r="T5" s="8"/>
      <c r="U5" s="8"/>
      <c r="V5" s="8"/>
      <c r="W5" s="8"/>
      <c r="X5" s="8"/>
      <c r="Y5" s="8"/>
      <c r="Z5" s="8"/>
    </row>
    <row r="6">
      <c r="A6" s="7" t="s">
        <v>61</v>
      </c>
      <c r="B6" s="9">
        <v>46153.0</v>
      </c>
      <c r="C6" s="8"/>
      <c r="D6" s="7" t="s">
        <v>62</v>
      </c>
      <c r="E6" s="8"/>
      <c r="F6" s="8"/>
      <c r="G6" s="7" t="s">
        <v>63</v>
      </c>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31.38"/>
  </cols>
  <sheetData>
    <row r="1" ht="27.0" customHeight="1">
      <c r="A1" s="10" t="s">
        <v>64</v>
      </c>
      <c r="B1" s="11"/>
      <c r="C1" s="11"/>
      <c r="D1" s="11"/>
      <c r="E1" s="11"/>
      <c r="F1" s="11"/>
      <c r="G1" s="11"/>
      <c r="H1" s="11"/>
      <c r="I1" s="11"/>
      <c r="J1" s="11"/>
      <c r="K1" s="12"/>
      <c r="L1" s="12"/>
      <c r="M1" s="12"/>
      <c r="N1" s="12"/>
      <c r="O1" s="12"/>
      <c r="P1" s="12"/>
      <c r="Q1" s="12"/>
      <c r="R1" s="12"/>
      <c r="S1" s="12"/>
      <c r="T1" s="12"/>
      <c r="U1" s="12"/>
      <c r="V1" s="12"/>
      <c r="W1" s="12"/>
      <c r="X1" s="12"/>
      <c r="Y1" s="12"/>
      <c r="Z1" s="12"/>
    </row>
    <row r="2">
      <c r="A2" s="13" t="s">
        <v>65</v>
      </c>
      <c r="B2" s="14" t="s">
        <v>66</v>
      </c>
      <c r="C2" s="15" t="s">
        <v>67</v>
      </c>
      <c r="D2" s="14" t="s">
        <v>68</v>
      </c>
      <c r="E2" s="14" t="s">
        <v>69</v>
      </c>
      <c r="F2" s="14" t="s">
        <v>70</v>
      </c>
      <c r="G2" s="14" t="s">
        <v>71</v>
      </c>
      <c r="H2" s="14" t="s">
        <v>72</v>
      </c>
      <c r="I2" s="14" t="s">
        <v>73</v>
      </c>
      <c r="J2" s="14" t="s">
        <v>74</v>
      </c>
      <c r="K2" s="16" t="s">
        <v>75</v>
      </c>
      <c r="L2" s="17"/>
      <c r="M2" s="17"/>
      <c r="N2" s="17"/>
      <c r="O2" s="17"/>
      <c r="P2" s="17"/>
      <c r="Q2" s="17"/>
      <c r="R2" s="17"/>
      <c r="S2" s="17"/>
      <c r="T2" s="17"/>
      <c r="U2" s="17"/>
      <c r="V2" s="17"/>
      <c r="W2" s="17"/>
      <c r="X2" s="17"/>
      <c r="Y2" s="17"/>
      <c r="Z2" s="17"/>
    </row>
    <row r="3">
      <c r="A3" s="7" t="s">
        <v>76</v>
      </c>
      <c r="B3" s="7" t="s">
        <v>77</v>
      </c>
      <c r="C3" s="8"/>
      <c r="D3" s="8"/>
      <c r="E3" s="8"/>
      <c r="F3" s="7" t="s">
        <v>78</v>
      </c>
      <c r="G3" s="8"/>
      <c r="H3" s="8"/>
      <c r="I3" s="8"/>
      <c r="J3" s="7" t="s">
        <v>79</v>
      </c>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18"/>
      <c r="B1" s="19"/>
      <c r="C1" s="19"/>
      <c r="D1" s="19"/>
      <c r="E1" s="19"/>
      <c r="F1" s="19"/>
      <c r="G1" s="20"/>
      <c r="H1" s="20"/>
      <c r="I1" s="20"/>
      <c r="J1" s="20"/>
      <c r="K1" s="20"/>
      <c r="L1" s="20"/>
      <c r="M1" s="21"/>
      <c r="N1" s="21"/>
      <c r="O1" s="21"/>
      <c r="P1" s="21"/>
      <c r="Q1" s="7"/>
      <c r="R1" s="7"/>
      <c r="S1" s="20"/>
      <c r="T1" s="20"/>
      <c r="U1" s="8"/>
      <c r="V1" s="8"/>
      <c r="W1" s="8"/>
    </row>
    <row r="2" ht="39.75" customHeight="1">
      <c r="A2" s="19" t="s">
        <v>80</v>
      </c>
      <c r="G2" s="20"/>
      <c r="H2" s="20"/>
      <c r="I2" s="20"/>
      <c r="J2" s="20"/>
      <c r="K2" s="20"/>
      <c r="L2" s="20"/>
      <c r="M2" s="21"/>
      <c r="N2" s="21"/>
      <c r="O2" s="21"/>
      <c r="P2" s="21"/>
      <c r="Q2" s="7"/>
      <c r="R2" s="7"/>
      <c r="S2" s="20"/>
      <c r="T2" s="20"/>
      <c r="U2" s="8"/>
      <c r="V2" s="8"/>
      <c r="W2" s="8"/>
    </row>
    <row r="3">
      <c r="A3" s="2" t="s">
        <v>81</v>
      </c>
      <c r="B3" s="2" t="s">
        <v>3</v>
      </c>
      <c r="C3" s="4" t="s">
        <v>82</v>
      </c>
      <c r="D3" s="4" t="s">
        <v>83</v>
      </c>
      <c r="E3" s="2" t="s">
        <v>84</v>
      </c>
      <c r="F3" s="2" t="s">
        <v>85</v>
      </c>
      <c r="G3" s="4" t="s">
        <v>16</v>
      </c>
      <c r="H3" s="4" t="s">
        <v>17</v>
      </c>
      <c r="I3" s="4" t="s">
        <v>18</v>
      </c>
      <c r="J3" s="4" t="s">
        <v>19</v>
      </c>
      <c r="K3" s="4" t="s">
        <v>20</v>
      </c>
      <c r="L3" s="4" t="s">
        <v>21</v>
      </c>
      <c r="M3" s="2" t="s">
        <v>22</v>
      </c>
      <c r="N3" s="2" t="s">
        <v>23</v>
      </c>
      <c r="O3" s="2" t="s">
        <v>86</v>
      </c>
      <c r="P3" s="2" t="s">
        <v>87</v>
      </c>
      <c r="Q3" s="3" t="s">
        <v>88</v>
      </c>
      <c r="R3" s="3" t="s">
        <v>89</v>
      </c>
      <c r="S3" s="4" t="s">
        <v>90</v>
      </c>
      <c r="T3" s="22" t="s">
        <v>91</v>
      </c>
      <c r="U3" s="5"/>
      <c r="V3" s="5"/>
      <c r="W3" s="5"/>
      <c r="X3" s="23"/>
      <c r="Y3" s="23"/>
      <c r="Z3" s="23"/>
      <c r="AA3" s="23"/>
    </row>
    <row r="4">
      <c r="A4" s="24">
        <v>1.0</v>
      </c>
      <c r="B4" s="24" t="s">
        <v>92</v>
      </c>
      <c r="C4" s="24">
        <f>D4+E4</f>
        <v>7</v>
      </c>
      <c r="D4" s="24">
        <f>sum(G4:N4)</f>
        <v>6</v>
      </c>
      <c r="E4" s="24">
        <v>1.0</v>
      </c>
      <c r="F4" s="24" t="s">
        <v>93</v>
      </c>
      <c r="G4" s="24">
        <v>3.0</v>
      </c>
      <c r="H4" s="24">
        <v>1.0</v>
      </c>
      <c r="I4" s="25"/>
      <c r="J4" s="25"/>
      <c r="K4" s="25"/>
      <c r="L4" s="24">
        <v>0.5</v>
      </c>
      <c r="M4" s="24">
        <v>1.0</v>
      </c>
      <c r="N4" s="24">
        <v>0.5</v>
      </c>
      <c r="O4" s="24" t="s">
        <v>94</v>
      </c>
      <c r="P4" s="24" t="s">
        <v>95</v>
      </c>
      <c r="Q4" s="24" t="s">
        <v>96</v>
      </c>
      <c r="R4" s="24" t="s">
        <v>97</v>
      </c>
      <c r="S4" s="24" t="s">
        <v>98</v>
      </c>
      <c r="T4" s="24">
        <v>6.0</v>
      </c>
      <c r="U4" s="8"/>
      <c r="V4" s="8"/>
      <c r="W4" s="25"/>
      <c r="X4" s="26"/>
      <c r="Y4" s="26"/>
      <c r="Z4" s="26"/>
      <c r="AA4" s="26"/>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18" t="s">
        <v>99</v>
      </c>
      <c r="B1" s="19"/>
      <c r="C1" s="19"/>
      <c r="D1" s="19"/>
      <c r="E1" s="19"/>
      <c r="F1" s="19"/>
      <c r="G1" s="20"/>
      <c r="H1" s="20"/>
      <c r="I1" s="20"/>
      <c r="J1" s="20"/>
      <c r="K1" s="20"/>
      <c r="L1" s="20"/>
      <c r="M1" s="21"/>
      <c r="N1" s="21"/>
      <c r="O1" s="21"/>
      <c r="P1" s="21"/>
      <c r="Q1" s="7"/>
      <c r="R1" s="7"/>
      <c r="S1" s="20"/>
      <c r="T1" s="20"/>
      <c r="U1" s="8"/>
      <c r="V1" s="8"/>
      <c r="W1" s="8"/>
    </row>
    <row r="2" ht="39.75" customHeight="1">
      <c r="A2" s="19" t="s">
        <v>100</v>
      </c>
      <c r="G2" s="20"/>
      <c r="H2" s="20"/>
      <c r="I2" s="20"/>
      <c r="J2" s="20"/>
      <c r="K2" s="20"/>
      <c r="L2" s="20"/>
      <c r="M2" s="21"/>
      <c r="N2" s="21"/>
      <c r="O2" s="21"/>
      <c r="P2" s="21"/>
      <c r="Q2" s="7"/>
      <c r="R2" s="7"/>
      <c r="S2" s="20"/>
      <c r="T2" s="20"/>
      <c r="U2" s="8"/>
      <c r="V2" s="8"/>
      <c r="W2" s="8"/>
    </row>
    <row r="3">
      <c r="A3" s="2" t="s">
        <v>81</v>
      </c>
      <c r="B3" s="2" t="s">
        <v>3</v>
      </c>
      <c r="C3" s="4" t="s">
        <v>82</v>
      </c>
      <c r="D3" s="4" t="s">
        <v>83</v>
      </c>
      <c r="E3" s="2" t="s">
        <v>84</v>
      </c>
      <c r="F3" s="2" t="s">
        <v>85</v>
      </c>
      <c r="G3" s="4" t="s">
        <v>16</v>
      </c>
      <c r="H3" s="4" t="s">
        <v>17</v>
      </c>
      <c r="I3" s="4" t="s">
        <v>18</v>
      </c>
      <c r="J3" s="4" t="s">
        <v>19</v>
      </c>
      <c r="K3" s="4" t="s">
        <v>20</v>
      </c>
      <c r="L3" s="4" t="s">
        <v>21</v>
      </c>
      <c r="M3" s="2" t="s">
        <v>22</v>
      </c>
      <c r="N3" s="2" t="s">
        <v>23</v>
      </c>
      <c r="O3" s="2" t="s">
        <v>86</v>
      </c>
      <c r="P3" s="2" t="s">
        <v>87</v>
      </c>
      <c r="Q3" s="3" t="s">
        <v>88</v>
      </c>
      <c r="R3" s="3" t="s">
        <v>89</v>
      </c>
      <c r="S3" s="4" t="s">
        <v>90</v>
      </c>
      <c r="T3" s="22" t="s">
        <v>91</v>
      </c>
      <c r="U3" s="5"/>
      <c r="V3" s="5"/>
      <c r="W3" s="5"/>
      <c r="X3" s="23"/>
      <c r="Y3" s="23"/>
      <c r="Z3" s="23"/>
      <c r="AA3" s="23"/>
    </row>
    <row r="4">
      <c r="A4" s="24">
        <v>1.0</v>
      </c>
      <c r="B4" s="24" t="s">
        <v>101</v>
      </c>
      <c r="C4" s="24">
        <f>D4+E4</f>
        <v>37.5</v>
      </c>
      <c r="D4" s="24">
        <f>sum(G4:N4)</f>
        <v>35</v>
      </c>
      <c r="E4" s="24">
        <v>2.5</v>
      </c>
      <c r="F4" s="24" t="s">
        <v>102</v>
      </c>
      <c r="G4" s="24">
        <v>0.0</v>
      </c>
      <c r="H4" s="24">
        <v>20.0</v>
      </c>
      <c r="I4" s="24">
        <v>10.0</v>
      </c>
      <c r="J4" s="24">
        <v>0.0</v>
      </c>
      <c r="K4" s="24">
        <v>0.0</v>
      </c>
      <c r="L4" s="24">
        <v>5.0</v>
      </c>
      <c r="M4" s="24">
        <v>0.0</v>
      </c>
      <c r="N4" s="24">
        <v>0.0</v>
      </c>
      <c r="O4" s="24" t="s">
        <v>103</v>
      </c>
      <c r="P4" s="24" t="s">
        <v>104</v>
      </c>
      <c r="Q4" s="24" t="s">
        <v>105</v>
      </c>
      <c r="R4" s="24" t="s">
        <v>106</v>
      </c>
      <c r="S4" s="24" t="s">
        <v>107</v>
      </c>
      <c r="T4" s="24">
        <v>25.0</v>
      </c>
      <c r="U4" s="8"/>
      <c r="V4" s="8"/>
      <c r="W4" s="25"/>
      <c r="X4" s="26"/>
      <c r="Y4" s="26"/>
      <c r="Z4" s="26"/>
      <c r="AA4" s="26"/>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101.0"/>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38.13"/>
    <col customWidth="1" min="16" max="16" width="60.5"/>
    <col customWidth="1" min="17" max="17" width="47.63"/>
    <col customWidth="1" min="18" max="18" width="22.88"/>
    <col customWidth="1" min="19" max="19" width="17.63"/>
    <col customWidth="1" min="20" max="20" width="21.5"/>
    <col customWidth="1" min="21" max="23" width="10.75"/>
  </cols>
  <sheetData>
    <row r="1">
      <c r="A1" s="27"/>
      <c r="B1" s="28"/>
      <c r="C1" s="28"/>
      <c r="D1" s="28"/>
      <c r="E1" s="28"/>
      <c r="F1" s="28"/>
      <c r="G1" s="29"/>
      <c r="H1" s="29"/>
      <c r="I1" s="29"/>
      <c r="J1" s="29"/>
      <c r="K1" s="29"/>
      <c r="L1" s="29"/>
      <c r="M1" s="28"/>
      <c r="N1" s="28"/>
      <c r="O1" s="28"/>
      <c r="P1" s="28"/>
      <c r="Q1" s="30"/>
      <c r="R1" s="30"/>
      <c r="S1" s="29"/>
      <c r="T1" s="29"/>
      <c r="U1" s="31"/>
      <c r="V1" s="31"/>
      <c r="W1" s="31"/>
      <c r="X1" s="32"/>
      <c r="Y1" s="32"/>
      <c r="Z1" s="32"/>
      <c r="AA1" s="32"/>
    </row>
    <row r="2" ht="39.75" customHeight="1">
      <c r="A2" s="19" t="s">
        <v>108</v>
      </c>
      <c r="G2" s="20"/>
      <c r="H2" s="20"/>
      <c r="I2" s="20"/>
      <c r="J2" s="20"/>
      <c r="K2" s="20"/>
      <c r="L2" s="20"/>
      <c r="M2" s="21"/>
      <c r="N2" s="21"/>
      <c r="O2" s="21"/>
      <c r="P2" s="21"/>
      <c r="Q2" s="7"/>
      <c r="R2" s="7"/>
      <c r="S2" s="20"/>
      <c r="T2" s="20"/>
      <c r="U2" s="8"/>
      <c r="V2" s="8"/>
      <c r="W2" s="8"/>
    </row>
    <row r="3">
      <c r="A3" s="2" t="s">
        <v>81</v>
      </c>
      <c r="B3" s="2" t="s">
        <v>3</v>
      </c>
      <c r="C3" s="4" t="s">
        <v>82</v>
      </c>
      <c r="D3" s="4" t="s">
        <v>83</v>
      </c>
      <c r="E3" s="2" t="s">
        <v>84</v>
      </c>
      <c r="F3" s="2" t="s">
        <v>85</v>
      </c>
      <c r="G3" s="4" t="s">
        <v>16</v>
      </c>
      <c r="H3" s="4" t="s">
        <v>17</v>
      </c>
      <c r="I3" s="4" t="s">
        <v>18</v>
      </c>
      <c r="J3" s="4" t="s">
        <v>19</v>
      </c>
      <c r="K3" s="4" t="s">
        <v>20</v>
      </c>
      <c r="L3" s="4" t="s">
        <v>21</v>
      </c>
      <c r="M3" s="2" t="s">
        <v>22</v>
      </c>
      <c r="N3" s="2" t="s">
        <v>23</v>
      </c>
      <c r="O3" s="2" t="s">
        <v>86</v>
      </c>
      <c r="P3" s="2" t="s">
        <v>87</v>
      </c>
      <c r="Q3" s="3" t="s">
        <v>88</v>
      </c>
      <c r="R3" s="3" t="s">
        <v>89</v>
      </c>
      <c r="S3" s="4" t="s">
        <v>90</v>
      </c>
      <c r="T3" s="22" t="s">
        <v>91</v>
      </c>
      <c r="U3" s="5"/>
      <c r="V3" s="5"/>
      <c r="W3" s="5"/>
      <c r="X3" s="23"/>
      <c r="Y3" s="23"/>
      <c r="Z3" s="23"/>
      <c r="AA3" s="23"/>
    </row>
    <row r="4" ht="241.5" customHeight="1">
      <c r="A4" s="33">
        <v>1.0</v>
      </c>
      <c r="B4" s="33" t="s">
        <v>109</v>
      </c>
      <c r="C4" s="33">
        <v>9.5</v>
      </c>
      <c r="D4" s="33">
        <v>7.0</v>
      </c>
      <c r="E4" s="33">
        <v>2.5</v>
      </c>
      <c r="F4" s="33" t="s">
        <v>110</v>
      </c>
      <c r="G4" s="7">
        <v>2.0</v>
      </c>
      <c r="H4" s="7">
        <v>1.0</v>
      </c>
      <c r="I4" s="7">
        <v>0.5</v>
      </c>
      <c r="J4" s="8"/>
      <c r="K4" s="8"/>
      <c r="L4" s="7">
        <v>2.0</v>
      </c>
      <c r="M4" s="7">
        <v>1.5</v>
      </c>
      <c r="N4" s="7">
        <v>3.0</v>
      </c>
      <c r="O4" s="7" t="s">
        <v>111</v>
      </c>
      <c r="P4" s="7" t="s">
        <v>112</v>
      </c>
      <c r="Q4" s="7" t="s">
        <v>113</v>
      </c>
      <c r="R4" s="7" t="s">
        <v>114</v>
      </c>
      <c r="S4" s="7" t="s">
        <v>115</v>
      </c>
      <c r="T4" s="7" t="s">
        <v>116</v>
      </c>
      <c r="U4" s="8"/>
      <c r="V4" s="8"/>
      <c r="W4" s="8"/>
    </row>
    <row r="5">
      <c r="F5" s="33"/>
      <c r="G5" s="8"/>
      <c r="H5" s="8"/>
      <c r="I5" s="8"/>
      <c r="J5" s="8"/>
      <c r="K5" s="8"/>
      <c r="L5" s="8"/>
      <c r="M5" s="8"/>
      <c r="N5" s="8"/>
      <c r="O5" s="7"/>
      <c r="P5" s="8"/>
      <c r="Q5" s="8"/>
      <c r="R5" s="8"/>
      <c r="S5" s="8"/>
      <c r="T5" s="8"/>
      <c r="U5" s="8"/>
      <c r="V5" s="8"/>
      <c r="W5" s="8"/>
    </row>
    <row r="6">
      <c r="E6" s="33"/>
      <c r="F6" s="33"/>
      <c r="G6" s="8"/>
      <c r="H6" s="8"/>
      <c r="I6" s="8"/>
      <c r="J6" s="8"/>
      <c r="K6" s="8"/>
      <c r="L6" s="8"/>
      <c r="M6" s="8"/>
      <c r="N6" s="8"/>
      <c r="O6" s="7"/>
      <c r="P6" s="8"/>
      <c r="Q6" s="8"/>
      <c r="R6" s="8"/>
      <c r="S6" s="8"/>
      <c r="T6" s="8"/>
      <c r="U6" s="8"/>
      <c r="V6" s="8"/>
      <c r="W6" s="8"/>
    </row>
    <row r="7">
      <c r="F7" s="33"/>
      <c r="G7" s="8"/>
      <c r="H7" s="8"/>
      <c r="I7" s="8"/>
      <c r="J7" s="8"/>
      <c r="K7" s="8"/>
      <c r="L7" s="8"/>
      <c r="M7" s="8"/>
      <c r="N7" s="8"/>
      <c r="O7" s="8"/>
      <c r="P7" s="8"/>
      <c r="Q7" s="8"/>
      <c r="R7" s="8"/>
      <c r="S7" s="8"/>
      <c r="T7" s="8"/>
      <c r="U7" s="8"/>
      <c r="V7" s="8"/>
      <c r="W7" s="8"/>
    </row>
    <row r="8">
      <c r="F8" s="34"/>
      <c r="G8" s="8"/>
      <c r="H8" s="8"/>
      <c r="I8" s="8"/>
      <c r="J8" s="8"/>
      <c r="K8" s="8"/>
      <c r="L8" s="8"/>
      <c r="M8" s="8"/>
      <c r="N8" s="8"/>
      <c r="O8" s="8"/>
      <c r="P8" s="8"/>
      <c r="Q8" s="8"/>
      <c r="R8" s="8"/>
      <c r="S8" s="8"/>
      <c r="T8" s="8"/>
      <c r="U8" s="8"/>
      <c r="V8" s="8"/>
      <c r="W8" s="8"/>
    </row>
    <row r="9">
      <c r="F9" s="33"/>
      <c r="G9" s="7"/>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35" t="s">
        <v>99</v>
      </c>
      <c r="B1" s="19"/>
      <c r="C1" s="19"/>
      <c r="D1" s="19"/>
      <c r="E1" s="19"/>
      <c r="F1" s="19"/>
      <c r="G1" s="20"/>
      <c r="H1" s="20"/>
      <c r="I1" s="20"/>
      <c r="J1" s="20"/>
      <c r="K1" s="20"/>
      <c r="L1" s="20"/>
      <c r="M1" s="21"/>
      <c r="N1" s="21"/>
      <c r="O1" s="21"/>
      <c r="P1" s="21"/>
      <c r="Q1" s="7"/>
      <c r="R1" s="7"/>
      <c r="S1" s="20"/>
      <c r="T1" s="20"/>
      <c r="U1" s="8"/>
      <c r="V1" s="8"/>
      <c r="W1" s="8"/>
    </row>
    <row r="2" ht="39.75" customHeight="1">
      <c r="A2" s="19" t="s">
        <v>117</v>
      </c>
      <c r="G2" s="20"/>
      <c r="H2" s="20"/>
      <c r="I2" s="20"/>
      <c r="J2" s="20"/>
      <c r="K2" s="20"/>
      <c r="L2" s="20"/>
      <c r="M2" s="21"/>
      <c r="N2" s="21"/>
      <c r="O2" s="21"/>
      <c r="P2" s="21"/>
      <c r="Q2" s="7"/>
      <c r="R2" s="7"/>
      <c r="S2" s="20"/>
      <c r="T2" s="20"/>
      <c r="U2" s="8"/>
      <c r="V2" s="8"/>
      <c r="W2" s="8"/>
    </row>
    <row r="3">
      <c r="A3" s="2" t="s">
        <v>81</v>
      </c>
      <c r="B3" s="2" t="s">
        <v>3</v>
      </c>
      <c r="C3" s="4" t="s">
        <v>82</v>
      </c>
      <c r="D3" s="4" t="s">
        <v>83</v>
      </c>
      <c r="E3" s="2" t="s">
        <v>84</v>
      </c>
      <c r="F3" s="2" t="s">
        <v>85</v>
      </c>
      <c r="G3" s="4" t="s">
        <v>16</v>
      </c>
      <c r="H3" s="4" t="s">
        <v>17</v>
      </c>
      <c r="I3" s="4" t="s">
        <v>18</v>
      </c>
      <c r="J3" s="4" t="s">
        <v>19</v>
      </c>
      <c r="K3" s="4" t="s">
        <v>20</v>
      </c>
      <c r="L3" s="4" t="s">
        <v>21</v>
      </c>
      <c r="M3" s="2" t="s">
        <v>22</v>
      </c>
      <c r="N3" s="2" t="s">
        <v>23</v>
      </c>
      <c r="O3" s="2" t="s">
        <v>86</v>
      </c>
      <c r="P3" s="2" t="s">
        <v>87</v>
      </c>
      <c r="Q3" s="3" t="s">
        <v>88</v>
      </c>
      <c r="R3" s="3" t="s">
        <v>89</v>
      </c>
      <c r="S3" s="4" t="s">
        <v>90</v>
      </c>
      <c r="T3" s="22" t="s">
        <v>91</v>
      </c>
      <c r="U3" s="5"/>
      <c r="V3" s="5"/>
      <c r="W3" s="5"/>
      <c r="X3" s="23"/>
      <c r="Y3" s="23"/>
      <c r="Z3" s="23"/>
      <c r="AA3" s="23"/>
    </row>
    <row r="4">
      <c r="A4" s="7">
        <v>1.0</v>
      </c>
      <c r="B4" s="7" t="s">
        <v>118</v>
      </c>
      <c r="C4" s="7">
        <v>4.5</v>
      </c>
      <c r="D4" s="7">
        <v>2.0</v>
      </c>
      <c r="E4" s="7">
        <v>2.5</v>
      </c>
      <c r="F4" s="7" t="s">
        <v>119</v>
      </c>
      <c r="G4" s="7">
        <v>2.0</v>
      </c>
      <c r="H4" s="7">
        <v>1.0</v>
      </c>
      <c r="I4" s="7">
        <v>1.0</v>
      </c>
      <c r="J4" s="8"/>
      <c r="K4" s="8"/>
      <c r="L4" s="7"/>
      <c r="M4" s="8"/>
      <c r="N4" s="7">
        <v>1.0</v>
      </c>
      <c r="O4" s="7" t="s">
        <v>120</v>
      </c>
      <c r="P4" s="7" t="s">
        <v>121</v>
      </c>
      <c r="Q4" s="7" t="s">
        <v>122</v>
      </c>
      <c r="R4" s="7" t="s">
        <v>123</v>
      </c>
      <c r="S4" s="7" t="s">
        <v>124</v>
      </c>
      <c r="T4" s="8"/>
      <c r="U4" s="8"/>
      <c r="V4" s="8"/>
      <c r="W4" s="8"/>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17.38"/>
    <col customWidth="1" min="4" max="4" width="13.0"/>
    <col customWidth="1" min="5" max="5" width="12.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4.88"/>
    <col customWidth="1" min="16" max="16" width="55.0"/>
    <col customWidth="1" min="17" max="17" width="19.63"/>
    <col customWidth="1" min="18" max="18" width="22.88"/>
    <col customWidth="1" min="19" max="19" width="17.63"/>
    <col customWidth="1" min="20" max="20" width="21.5"/>
    <col customWidth="1" min="21" max="23" width="10.75"/>
  </cols>
  <sheetData>
    <row r="1">
      <c r="A1" s="36"/>
      <c r="B1" s="21"/>
      <c r="C1" s="21"/>
      <c r="D1" s="21"/>
      <c r="E1" s="21"/>
      <c r="F1" s="21"/>
      <c r="G1" s="20"/>
      <c r="H1" s="20"/>
      <c r="I1" s="20"/>
      <c r="J1" s="20"/>
      <c r="K1" s="20"/>
      <c r="L1" s="20"/>
      <c r="M1" s="21"/>
      <c r="N1" s="21"/>
      <c r="O1" s="21"/>
      <c r="P1" s="21"/>
      <c r="Q1" s="7"/>
      <c r="R1" s="7"/>
      <c r="S1" s="20"/>
      <c r="T1" s="20"/>
      <c r="U1" s="8"/>
      <c r="V1" s="8"/>
      <c r="W1" s="8"/>
    </row>
    <row r="2" ht="39.75" customHeight="1">
      <c r="A2" s="19" t="s">
        <v>125</v>
      </c>
      <c r="G2" s="20"/>
      <c r="H2" s="20"/>
      <c r="I2" s="20"/>
      <c r="J2" s="20"/>
      <c r="K2" s="20"/>
      <c r="L2" s="20"/>
      <c r="M2" s="21"/>
      <c r="N2" s="21"/>
      <c r="O2" s="21"/>
      <c r="P2" s="21"/>
      <c r="Q2" s="7"/>
      <c r="R2" s="7"/>
      <c r="S2" s="20"/>
      <c r="T2" s="20"/>
      <c r="U2" s="8"/>
      <c r="V2" s="8"/>
      <c r="W2" s="8"/>
    </row>
    <row r="3">
      <c r="A3" s="2" t="s">
        <v>81</v>
      </c>
      <c r="B3" s="2" t="s">
        <v>3</v>
      </c>
      <c r="C3" s="4" t="s">
        <v>82</v>
      </c>
      <c r="D3" s="4" t="s">
        <v>83</v>
      </c>
      <c r="E3" s="2" t="s">
        <v>84</v>
      </c>
      <c r="F3" s="2" t="s">
        <v>85</v>
      </c>
      <c r="G3" s="4" t="s">
        <v>16</v>
      </c>
      <c r="H3" s="4" t="s">
        <v>17</v>
      </c>
      <c r="I3" s="4" t="s">
        <v>18</v>
      </c>
      <c r="J3" s="4" t="s">
        <v>19</v>
      </c>
      <c r="K3" s="4" t="s">
        <v>20</v>
      </c>
      <c r="L3" s="4" t="s">
        <v>21</v>
      </c>
      <c r="M3" s="2" t="s">
        <v>22</v>
      </c>
      <c r="N3" s="2" t="s">
        <v>23</v>
      </c>
      <c r="O3" s="2" t="s">
        <v>86</v>
      </c>
      <c r="P3" s="2" t="s">
        <v>87</v>
      </c>
      <c r="Q3" s="3" t="s">
        <v>88</v>
      </c>
      <c r="R3" s="3" t="s">
        <v>89</v>
      </c>
      <c r="S3" s="4" t="s">
        <v>90</v>
      </c>
      <c r="T3" s="22" t="s">
        <v>91</v>
      </c>
      <c r="U3" s="5"/>
      <c r="V3" s="5"/>
      <c r="W3" s="5"/>
      <c r="X3" s="23"/>
      <c r="Y3" s="23"/>
      <c r="Z3" s="23"/>
      <c r="AA3" s="23"/>
    </row>
    <row r="4">
      <c r="A4" s="7">
        <v>1.0</v>
      </c>
      <c r="B4" s="7" t="s">
        <v>126</v>
      </c>
      <c r="C4" s="7">
        <v>12.0</v>
      </c>
      <c r="D4" s="7">
        <v>9.5</v>
      </c>
      <c r="E4" s="7">
        <v>2.5</v>
      </c>
      <c r="F4" s="7" t="s">
        <v>127</v>
      </c>
      <c r="G4" s="7">
        <v>1.0</v>
      </c>
      <c r="H4" s="7"/>
      <c r="I4" s="8"/>
      <c r="J4" s="8"/>
      <c r="K4" s="8"/>
      <c r="L4" s="7">
        <v>8.5</v>
      </c>
      <c r="M4" s="7"/>
      <c r="N4" s="7"/>
      <c r="O4" s="7" t="s">
        <v>128</v>
      </c>
      <c r="P4" s="7" t="s">
        <v>129</v>
      </c>
      <c r="Q4" s="7" t="s">
        <v>130</v>
      </c>
      <c r="R4" s="7" t="s">
        <v>131</v>
      </c>
      <c r="S4" s="7" t="s">
        <v>132</v>
      </c>
      <c r="T4" s="7" t="s">
        <v>133</v>
      </c>
      <c r="U4" s="8"/>
      <c r="V4" s="8"/>
      <c r="W4" s="8"/>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