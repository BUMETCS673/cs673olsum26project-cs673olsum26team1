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<sst xmlns="http://schemas.openxmlformats.org/spreadsheetml/2006/main" count="159" uniqueCount="130">
  <si>
    <t>This sheet provides some common risks in student projects. You should check if it applies to your group project. 
You should also feel free to add other risks. Exemplary analysis is also added.</t>
  </si>
  <si>
    <t>Risk Category</t>
  </si>
  <si>
    <t>Risk Title</t>
  </si>
  <si>
    <t>Description</t>
  </si>
  <si>
    <t>Estimated
 likelihood 
of occurrence
(L: 1-5 with 1 lowest likelihood)</t>
  </si>
  <si>
    <t>Estimated 
Impact
(I:1-5 with 1 lowest impact)</t>
  </si>
  <si>
    <t>Estimated 
retirement 
Cost (C: 1-5 with 1 lowest cost)</t>
  </si>
  <si>
    <t>Priority (lowest number has high priority) (6-L)*(6-I)*C)</t>
  </si>
  <si>
    <t>Responsible engineer</t>
  </si>
  <si>
    <t>Target completion date</t>
  </si>
  <si>
    <t>Detailed plan</t>
  </si>
  <si>
    <t>Execution summary</t>
  </si>
  <si>
    <t>Status</t>
  </si>
  <si>
    <t xml:space="preserve">personel </t>
  </si>
  <si>
    <t>Loss team members</t>
  </si>
  <si>
    <t>One or more team members drop the class</t>
  </si>
  <si>
    <t>team leader and all members</t>
  </si>
  <si>
    <t>Redefine the project scope if necessary, and assign the tasks to other team members.</t>
  </si>
  <si>
    <t>We did not lose any team members yet</t>
  </si>
  <si>
    <t>Open</t>
  </si>
  <si>
    <t>add new team members</t>
  </si>
  <si>
    <t>One or more team members join</t>
  </si>
  <si>
    <t>reassign roles and tasks between team members</t>
  </si>
  <si>
    <t>Missing team member reached out a week late, we added him into a role and caugt him up on our project</t>
  </si>
  <si>
    <t>Closed</t>
  </si>
  <si>
    <t>Lack of motivation or responsibility</t>
  </si>
  <si>
    <t>One or more team members do not fulfill responsibilities</t>
  </si>
  <si>
    <t>Check in with team member to analyze issue, delegate tasks to other team members if necessary</t>
  </si>
  <si>
    <t>Minor delays in completing tasks, team followed up with team member and proper delegation of tasks was made after</t>
  </si>
  <si>
    <t>Communication</t>
  </si>
  <si>
    <t>duplicate work</t>
  </si>
  <si>
    <t>team members are completing the same tasks</t>
  </si>
  <si>
    <t>team members involved, entire team if more input needed</t>
  </si>
  <si>
    <t>Involved team members decide what work to keep and which to scrap, other team members help if more input needed</t>
  </si>
  <si>
    <t>No duplicate work completed thus far</t>
  </si>
  <si>
    <t>worked on wrong components</t>
  </si>
  <si>
    <t>team member completed wrong tasks</t>
  </si>
  <si>
    <t>Involved team member</t>
  </si>
  <si>
    <t>If completed work overlaps with another team member, either swap tasks or communicate what to do with the incorrect work</t>
  </si>
  <si>
    <t>One team member worked on wrong branch, they fixed the thigns they changed and created a new branch</t>
  </si>
  <si>
    <t>useless work</t>
  </si>
  <si>
    <t>team member completing work irrelevant to assigned tasks</t>
  </si>
  <si>
    <t>team leader and involved team member</t>
  </si>
  <si>
    <t>team leader reminds member of their responsibilities and needed tasks</t>
  </si>
  <si>
    <t xml:space="preserve">Everyone has been focused on necessary tasks </t>
  </si>
  <si>
    <t>inconsistent work/not following documentation instructions</t>
  </si>
  <si>
    <t>team member not following instructions given by course documentation or team agreement</t>
  </si>
  <si>
    <t>Involved team member and team lead</t>
  </si>
  <si>
    <t>Team lead redirects team member to instructions, team member updates their current method or work to follow agreed upon instructions</t>
  </si>
  <si>
    <t>Team lead has reached out about documentation instructions and team member has complied</t>
  </si>
  <si>
    <t xml:space="preserve">Requirements </t>
  </si>
  <si>
    <t>unclear requirements</t>
  </si>
  <si>
    <t>requirements are unclear or overlap with existing requirements</t>
  </si>
  <si>
    <t>Requirement lead</t>
  </si>
  <si>
    <t>Requirement lead reviews requirements and updates them so that they are clear, consise, and can be tested/verified</t>
  </si>
  <si>
    <t>requirements are clear</t>
  </si>
  <si>
    <t>scope creep</t>
  </si>
  <si>
    <t>Requirements have grown to be more than what can be accomplished within the scope of the course</t>
  </si>
  <si>
    <t>Requirement Lead reviews requiremtns and assigns priority to necessary requirements adn puts out of scope requirements into backlog</t>
  </si>
  <si>
    <t>we are keeping up with requirements</t>
  </si>
  <si>
    <t>constant requirements changes</t>
  </si>
  <si>
    <t>Requirements keep changing or updating during iterations/sprints</t>
  </si>
  <si>
    <t xml:space="preserve">Requirement lead tries to finalize high priority requirements early on and comminicates with team when requirements are being changed or updated. </t>
  </si>
  <si>
    <t>requirements have not been changed</t>
  </si>
  <si>
    <t>Management</t>
  </si>
  <si>
    <t>improper task assignments</t>
  </si>
  <si>
    <t>tasks are being assigned to the wrong team members or leads</t>
  </si>
  <si>
    <t>Team lead</t>
  </si>
  <si>
    <t>Team lead reviews tasks for the week and team roles, reassigning tasks to proper team members as needed</t>
  </si>
  <si>
    <t>Tasks align with roles</t>
  </si>
  <si>
    <t>lack of planning/management skills</t>
  </si>
  <si>
    <t>Team lead is not managing documentation or team planning as required</t>
  </si>
  <si>
    <t>Team Lead</t>
  </si>
  <si>
    <t>Team lead assesses current planning strategy and decides on how to improve management, planning, or communication skills</t>
  </si>
  <si>
    <t xml:space="preserve">Current management and planning has been working </t>
  </si>
  <si>
    <t>improper planning</t>
  </si>
  <si>
    <t>Team is not meeting or planning ahead enough to meet project goals</t>
  </si>
  <si>
    <t>All team members</t>
  </si>
  <si>
    <t>Team members plan to meet more frequently or adjust the agenda for meetings to make sure everything is planned thoroughly</t>
  </si>
  <si>
    <t>Currently the team is meeting project goals</t>
  </si>
  <si>
    <t>Technology competence</t>
  </si>
  <si>
    <t>Not familiar with the framework used</t>
  </si>
  <si>
    <t>One or more team members are unfamiliar with the framework being used to complete the project</t>
  </si>
  <si>
    <t>Involved team members</t>
  </si>
  <si>
    <t>Unfamiliar team member spends time researching frameworks and getting familiar with it enough to contribute with team, ask other team members for support where needed</t>
  </si>
  <si>
    <t>There are team members unfamiliar with the framework, they researched and learned necessary points</t>
  </si>
  <si>
    <t>Not familiar with the programming language used</t>
  </si>
  <si>
    <t>One or more team members are unfamiliar with the programming language being used</t>
  </si>
  <si>
    <t>Unfamiliar teammate spends time researching essential syntax for programming language to ensure that they can at least proofread and understand code, ask other team members for support where needed</t>
  </si>
  <si>
    <t>All team members are at least a little familiar with current programming languages</t>
  </si>
  <si>
    <t>Not familiar with unit testing</t>
  </si>
  <si>
    <t>One or more team members are unfamiliar with unit testing</t>
  </si>
  <si>
    <t>Unfamiliar teammate spends time researching and gets familiar with the unit testing method that other teammates are using, ask other teammates for support where needed</t>
  </si>
  <si>
    <t>Some users unfamiliar with unit testing, researched individually</t>
  </si>
  <si>
    <t>Git commits/PRs/branches are not following team standard</t>
  </si>
  <si>
    <t>Team standards for branching strategy are not being followed by one or more team members</t>
  </si>
  <si>
    <t>Configuration lead and involved team members</t>
  </si>
  <si>
    <t>Configuration lead clarifies the branching strategy and our team's standard, helps involved team member meet these standards</t>
  </si>
  <si>
    <t>A few stray commits, team members fix it when it is brought to attention; Everyone on the same page for branch standards</t>
  </si>
  <si>
    <t>Not familiar with Git</t>
  </si>
  <si>
    <t>One or more team members are unfamiliar with how git/github works</t>
  </si>
  <si>
    <t>Involved team member, configuration lead for support</t>
  </si>
  <si>
    <t>Involved team members get familiar with git/github through research and the configuration lead can support them with any questions they may have</t>
  </si>
  <si>
    <t>Everyone is familiar with git/github</t>
  </si>
  <si>
    <t>Design and implementation</t>
  </si>
  <si>
    <t>Improper design</t>
  </si>
  <si>
    <t>Design for the system/code is incorrect or overly complex</t>
  </si>
  <si>
    <t>Team members meet to discuss possible alternatives to current design, research common design practices if needed</t>
  </si>
  <si>
    <t>Full design has not been finalized</t>
  </si>
  <si>
    <t>improper technology stack</t>
  </si>
  <si>
    <t>The stack that the team chooses is not ideal for the implementation of our project</t>
  </si>
  <si>
    <t>team members meet to discuss current stack and possible alternatives to areas of concern</t>
  </si>
  <si>
    <t>Stack has been agreed upon by team members</t>
  </si>
  <si>
    <t>Messy code</t>
  </si>
  <si>
    <t>Code is overly complicated or unreadable to team</t>
  </si>
  <si>
    <t>Team member who wrote code, all team members review</t>
  </si>
  <si>
    <t>Team member who wrote code returns to refactor it, team members give suggestions and review code after refactoring</t>
  </si>
  <si>
    <t>Code has been fine so far</t>
  </si>
  <si>
    <t xml:space="preserve">Testing </t>
  </si>
  <si>
    <t>Not enough testing</t>
  </si>
  <si>
    <t>Testing is not happening as often or as thoroughly as needed</t>
  </si>
  <si>
    <t>QA lead, all team members</t>
  </si>
  <si>
    <t>QA lead assesses where more testing is needed, all team members comply to the testing standards given</t>
  </si>
  <si>
    <t>Testing has been thorough enough</t>
  </si>
  <si>
    <t>Integration and deployment</t>
  </si>
  <si>
    <t>Not enough time for integration and deployment</t>
  </si>
  <si>
    <t>There is not enough time left in the course for integration and deployment</t>
  </si>
  <si>
    <t>All team members, team lead</t>
  </si>
  <si>
    <t xml:space="preserve">All team members asses what needs to be done, team leader delegates necessary tasks to meet deadline </t>
  </si>
  <si>
    <t>We are currently on track</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</si>
</sst>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
    <numFmt numFmtId="166" formatCode="mm/dd"/>
  </numFmts>
  <fonts count="5">
    <font>
      <sz val="10.0"/>
      <color rgb="FF000000"/>
      <name val="Arial"/>
    </font>
    <font>
      <color rgb="FFFF0000"/>
    </font>
    <font/>
    <font>
      <name val="Arial"/>
    </font>
    <font>
      <color rgb="FF000000"/>
      <name val="Arial"/>
    </font>
  </fonts>
  <fills count="3">
    <fill>
      <patternFill patternType="none"/>
    </fill>
    <fill>
      <patternFill patternType="lightGray"/>
    </fill>
    <fill>
      <patternFill patternType="solid">
        <fgColor rgb="FFFFFFFF"/>
        <bgColor rgb="FFFFFFFF"/>
      </patternFill>
    </fill>
  </fills>
  <borders count="2">
    <border/>
    <border>
      <right/>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readingOrder="0" shrinkToFit="0" vertical="bottom" wrapText="1"/>
    </xf>
    <xf borderId="0" fillId="0" fontId="3" numFmtId="3" xfId="0" applyAlignment="1" applyFont="1" applyNumberFormat="1">
      <alignment horizontal="right" readingOrder="0" shrinkToFit="0" vertical="bottom" wrapText="1"/>
    </xf>
    <xf borderId="0" fillId="0" fontId="3" numFmtId="0" xfId="0" applyAlignment="1" applyFont="1">
      <alignment horizontal="right" readingOrder="0" shrinkToFit="0" vertical="bottom" wrapText="1"/>
    </xf>
    <xf borderId="0" fillId="0" fontId="3" numFmtId="164" xfId="0" applyAlignment="1" applyFont="1" applyNumberFormat="1">
      <alignment horizontal="right" readingOrder="0" shrinkToFit="0" vertical="bottom" wrapText="1"/>
    </xf>
    <xf borderId="0" fillId="0" fontId="3" numFmtId="0" xfId="0" applyAlignment="1" applyFont="1">
      <alignment shrinkToFit="0" vertical="bottom" wrapText="1"/>
    </xf>
    <xf borderId="0" fillId="0" fontId="3" numFmtId="165" xfId="0" applyAlignment="1" applyFont="1" applyNumberFormat="1">
      <alignment horizontal="right" readingOrder="0" shrinkToFit="0" vertical="bottom" wrapText="1"/>
    </xf>
    <xf borderId="0" fillId="0" fontId="3" numFmtId="166" xfId="0" applyAlignment="1" applyFont="1" applyNumberFormat="1">
      <alignment horizontal="right" readingOrder="0" shrinkToFit="0" vertical="bottom" wrapText="1"/>
    </xf>
    <xf borderId="0" fillId="2" fontId="4" numFmtId="0" xfId="0" applyAlignment="1" applyFont="1">
      <alignment horizontal="left" readingOrder="0" shrinkToFit="0" wrapText="1"/>
    </xf>
    <xf borderId="0" fillId="0" fontId="3" numFmtId="0" xfId="0" applyAlignment="1" applyFont="1">
      <alignment horizontal="right" shrinkToFit="0" vertical="bottom" wrapText="1"/>
    </xf>
    <xf borderId="0" fillId="0" fontId="3" numFmtId="0" xfId="0" applyAlignment="1" applyFont="1">
      <alignment horizontal="right" shrinkToFit="0" vertical="bottom" wrapText="1"/>
    </xf>
    <xf borderId="0" fillId="0" fontId="3" numFmtId="165" xfId="0" applyAlignment="1" applyFont="1" applyNumberFormat="1">
      <alignment horizontal="right" shrinkToFit="0" vertical="bottom" wrapText="1"/>
    </xf>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horizontal="right" vertical="bottom"/>
    </xf>
    <xf borderId="0" fillId="0" fontId="3" numFmtId="0" xfId="0" applyAlignment="1" applyFont="1">
      <alignment horizontal="right" vertical="bottom"/>
    </xf>
    <xf borderId="0" fillId="0" fontId="3" numFmtId="165" xfId="0" applyAlignment="1" applyFont="1" applyNumberFormat="1">
      <alignment horizontal="right" vertical="bottom"/>
    </xf>
    <xf borderId="1" fillId="0" fontId="3" numFmtId="0" xfId="0" applyAlignment="1" applyBorder="1" applyFont="1">
      <alignment shrinkToFit="0" vertical="bottom" wrapText="0"/>
    </xf>
    <xf borderId="1" fillId="0" fontId="3"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9.63"/>
    <col customWidth="1" min="2" max="2" width="22.25"/>
    <col customWidth="1" min="3" max="3" width="25.75"/>
    <col customWidth="1" min="4" max="4" width="8.88"/>
    <col customWidth="1" min="5" max="5" width="10.13"/>
    <col customWidth="1" min="6" max="7" width="10.88"/>
    <col customWidth="1" min="8" max="8" width="16.88"/>
    <col customWidth="1" min="9" max="9" width="11.75"/>
    <col customWidth="1" min="10" max="10" width="25.25"/>
    <col customWidth="1" min="11" max="11" width="16.38"/>
    <col customWidth="1" min="12" max="12" width="8.25"/>
  </cols>
  <sheetData>
    <row r="1" ht="37.5" customHeight="1">
      <c r="A1" s="1" t="s">
        <v>0</v>
      </c>
      <c r="B1" s="2"/>
      <c r="C1" s="2"/>
      <c r="D1" s="2"/>
      <c r="E1" s="2"/>
      <c r="F1" s="2"/>
      <c r="G1" s="2"/>
      <c r="H1" s="2"/>
      <c r="I1" s="2"/>
      <c r="J1" s="2"/>
      <c r="K1" s="2"/>
    </row>
    <row r="2">
      <c r="A2" s="2" t="s">
        <v>1</v>
      </c>
      <c r="B2" s="2" t="s">
        <v>2</v>
      </c>
      <c r="C2" s="2" t="s">
        <v>3</v>
      </c>
      <c r="D2" s="2" t="s">
        <v>4</v>
      </c>
      <c r="E2" s="2" t="s">
        <v>5</v>
      </c>
      <c r="F2" s="2" t="s">
        <v>6</v>
      </c>
      <c r="G2" s="2" t="s">
        <v>7</v>
      </c>
      <c r="H2" s="2" t="s">
        <v>8</v>
      </c>
      <c r="I2" s="2" t="s">
        <v>9</v>
      </c>
      <c r="J2" s="2" t="s">
        <v>10</v>
      </c>
      <c r="K2" s="2" t="s">
        <v>11</v>
      </c>
      <c r="L2" s="2" t="s">
        <v>12</v>
      </c>
      <c r="M2" s="3"/>
      <c r="N2" s="3"/>
      <c r="O2" s="3"/>
      <c r="P2" s="3"/>
      <c r="Q2" s="3"/>
      <c r="R2" s="3"/>
      <c r="S2" s="3"/>
      <c r="T2" s="3"/>
      <c r="U2" s="3"/>
      <c r="V2" s="3"/>
      <c r="W2" s="3"/>
      <c r="X2" s="3"/>
      <c r="Y2" s="3"/>
      <c r="Z2" s="3"/>
      <c r="AA2" s="3"/>
    </row>
    <row r="3">
      <c r="A3" s="4" t="s">
        <v>13</v>
      </c>
      <c r="B3" s="2" t="s">
        <v>14</v>
      </c>
      <c r="C3" s="4" t="s">
        <v>15</v>
      </c>
      <c r="D3" s="5">
        <v>1.0</v>
      </c>
      <c r="E3" s="5">
        <v>5.0</v>
      </c>
      <c r="F3" s="5">
        <v>5.0</v>
      </c>
      <c r="G3" s="6">
        <f t="shared" ref="G3:G25" si="1">((6-D3)*(6-E3)*F3)</f>
        <v>25</v>
      </c>
      <c r="H3" s="4" t="s">
        <v>16</v>
      </c>
      <c r="I3" s="7">
        <v>46160.0</v>
      </c>
      <c r="J3" s="4" t="s">
        <v>17</v>
      </c>
      <c r="K3" s="4" t="s">
        <v>18</v>
      </c>
      <c r="L3" s="4" t="s">
        <v>19</v>
      </c>
      <c r="M3" s="8"/>
      <c r="N3" s="8"/>
      <c r="O3" s="8"/>
      <c r="P3" s="8"/>
      <c r="Q3" s="8"/>
      <c r="R3" s="8"/>
      <c r="S3" s="8"/>
      <c r="T3" s="8"/>
      <c r="U3" s="8"/>
      <c r="V3" s="8"/>
      <c r="W3" s="8"/>
      <c r="X3" s="8"/>
      <c r="Y3" s="8"/>
      <c r="Z3" s="8"/>
      <c r="AA3" s="8"/>
    </row>
    <row r="4">
      <c r="A4" s="8"/>
      <c r="B4" s="2" t="s">
        <v>20</v>
      </c>
      <c r="C4" s="4" t="s">
        <v>21</v>
      </c>
      <c r="D4" s="5">
        <v>1.0</v>
      </c>
      <c r="E4" s="5">
        <v>3.0</v>
      </c>
      <c r="F4" s="5">
        <v>2.0</v>
      </c>
      <c r="G4" s="6">
        <f t="shared" si="1"/>
        <v>30</v>
      </c>
      <c r="H4" s="4" t="s">
        <v>16</v>
      </c>
      <c r="I4" s="9">
        <v>46160.0</v>
      </c>
      <c r="J4" s="4" t="s">
        <v>22</v>
      </c>
      <c r="K4" s="4" t="s">
        <v>23</v>
      </c>
      <c r="L4" s="4" t="s">
        <v>24</v>
      </c>
      <c r="M4" s="8"/>
      <c r="N4" s="8"/>
      <c r="O4" s="8"/>
      <c r="P4" s="8"/>
      <c r="Q4" s="8"/>
      <c r="R4" s="8"/>
      <c r="S4" s="8"/>
      <c r="T4" s="8"/>
      <c r="U4" s="8"/>
      <c r="V4" s="8"/>
      <c r="W4" s="8"/>
      <c r="X4" s="8"/>
      <c r="Y4" s="8"/>
      <c r="Z4" s="8"/>
      <c r="AA4" s="8"/>
    </row>
    <row r="5">
      <c r="A5" s="8"/>
      <c r="B5" s="2" t="s">
        <v>25</v>
      </c>
      <c r="C5" s="4" t="s">
        <v>26</v>
      </c>
      <c r="D5" s="5">
        <v>3.0</v>
      </c>
      <c r="E5" s="5">
        <v>4.0</v>
      </c>
      <c r="F5" s="5">
        <v>3.0</v>
      </c>
      <c r="G5" s="6">
        <f t="shared" si="1"/>
        <v>18</v>
      </c>
      <c r="H5" s="2" t="s">
        <v>16</v>
      </c>
      <c r="I5" s="10">
        <v>46188.0</v>
      </c>
      <c r="J5" s="4" t="s">
        <v>27</v>
      </c>
      <c r="K5" s="4" t="s">
        <v>28</v>
      </c>
      <c r="L5" s="4" t="s">
        <v>19</v>
      </c>
      <c r="M5" s="8"/>
      <c r="N5" s="8"/>
      <c r="O5" s="8"/>
      <c r="P5" s="8"/>
      <c r="Q5" s="8"/>
      <c r="R5" s="8"/>
      <c r="S5" s="8"/>
      <c r="T5" s="8"/>
      <c r="U5" s="8"/>
      <c r="V5" s="8"/>
      <c r="W5" s="8"/>
      <c r="X5" s="8"/>
      <c r="Y5" s="8"/>
      <c r="Z5" s="8"/>
      <c r="AA5" s="8"/>
    </row>
    <row r="6">
      <c r="A6" s="4" t="s">
        <v>29</v>
      </c>
      <c r="B6" s="2" t="s">
        <v>30</v>
      </c>
      <c r="C6" s="4" t="s">
        <v>31</v>
      </c>
      <c r="D6" s="5">
        <v>3.0</v>
      </c>
      <c r="E6" s="5">
        <v>2.0</v>
      </c>
      <c r="F6" s="5">
        <v>2.0</v>
      </c>
      <c r="G6" s="6">
        <f t="shared" si="1"/>
        <v>24</v>
      </c>
      <c r="H6" s="4" t="s">
        <v>32</v>
      </c>
      <c r="I6" s="9">
        <v>46188.0</v>
      </c>
      <c r="J6" s="4" t="s">
        <v>33</v>
      </c>
      <c r="K6" s="4" t="s">
        <v>34</v>
      </c>
      <c r="L6" s="4" t="s">
        <v>19</v>
      </c>
      <c r="M6" s="8"/>
      <c r="N6" s="8"/>
      <c r="O6" s="8"/>
      <c r="P6" s="8"/>
      <c r="Q6" s="8"/>
      <c r="R6" s="8"/>
      <c r="S6" s="8"/>
      <c r="T6" s="8"/>
      <c r="U6" s="8"/>
      <c r="V6" s="8"/>
      <c r="W6" s="8"/>
      <c r="X6" s="8"/>
      <c r="Y6" s="8"/>
      <c r="Z6" s="8"/>
      <c r="AA6" s="8"/>
    </row>
    <row r="7">
      <c r="A7" s="3"/>
      <c r="B7" s="2" t="s">
        <v>35</v>
      </c>
      <c r="C7" s="4" t="s">
        <v>36</v>
      </c>
      <c r="D7" s="5">
        <v>1.0</v>
      </c>
      <c r="E7" s="5">
        <v>2.0</v>
      </c>
      <c r="F7" s="5">
        <v>1.0</v>
      </c>
      <c r="G7" s="6">
        <f t="shared" si="1"/>
        <v>20</v>
      </c>
      <c r="H7" s="4" t="s">
        <v>37</v>
      </c>
      <c r="I7" s="9">
        <v>46188.0</v>
      </c>
      <c r="J7" s="4" t="s">
        <v>38</v>
      </c>
      <c r="K7" s="4" t="s">
        <v>39</v>
      </c>
      <c r="L7" s="4" t="s">
        <v>19</v>
      </c>
      <c r="M7" s="8"/>
      <c r="N7" s="8"/>
      <c r="O7" s="8"/>
      <c r="P7" s="8"/>
      <c r="Q7" s="8"/>
      <c r="R7" s="8"/>
      <c r="S7" s="8"/>
      <c r="T7" s="8"/>
      <c r="U7" s="8"/>
      <c r="V7" s="8"/>
      <c r="W7" s="8"/>
      <c r="X7" s="8"/>
      <c r="Y7" s="8"/>
      <c r="Z7" s="8"/>
      <c r="AA7" s="8"/>
    </row>
    <row r="8">
      <c r="A8" s="4"/>
      <c r="B8" s="2" t="s">
        <v>40</v>
      </c>
      <c r="C8" s="4" t="s">
        <v>41</v>
      </c>
      <c r="D8" s="5">
        <v>2.0</v>
      </c>
      <c r="E8" s="5">
        <v>2.0</v>
      </c>
      <c r="F8" s="5">
        <v>3.0</v>
      </c>
      <c r="G8" s="6">
        <f t="shared" si="1"/>
        <v>48</v>
      </c>
      <c r="H8" s="4" t="s">
        <v>42</v>
      </c>
      <c r="I8" s="9">
        <v>46188.0</v>
      </c>
      <c r="J8" s="4" t="s">
        <v>43</v>
      </c>
      <c r="K8" s="4" t="s">
        <v>44</v>
      </c>
      <c r="L8" s="4" t="s">
        <v>19</v>
      </c>
      <c r="M8" s="8"/>
      <c r="N8" s="8"/>
      <c r="O8" s="8"/>
      <c r="P8" s="8"/>
      <c r="Q8" s="8"/>
      <c r="R8" s="8"/>
      <c r="S8" s="8"/>
      <c r="T8" s="8"/>
      <c r="U8" s="8"/>
      <c r="V8" s="8"/>
      <c r="W8" s="8"/>
      <c r="X8" s="8"/>
      <c r="Y8" s="8"/>
      <c r="Z8" s="8"/>
      <c r="AA8" s="8"/>
    </row>
    <row r="9">
      <c r="A9" s="4"/>
      <c r="B9" s="2" t="s">
        <v>45</v>
      </c>
      <c r="C9" s="4" t="s">
        <v>46</v>
      </c>
      <c r="D9" s="5">
        <v>2.0</v>
      </c>
      <c r="E9" s="5">
        <v>2.0</v>
      </c>
      <c r="F9" s="5">
        <v>1.0</v>
      </c>
      <c r="G9" s="6">
        <f t="shared" si="1"/>
        <v>16</v>
      </c>
      <c r="H9" s="4" t="s">
        <v>47</v>
      </c>
      <c r="I9" s="9">
        <v>46188.0</v>
      </c>
      <c r="J9" s="4" t="s">
        <v>48</v>
      </c>
      <c r="K9" s="4" t="s">
        <v>49</v>
      </c>
      <c r="L9" s="4" t="s">
        <v>19</v>
      </c>
      <c r="M9" s="8"/>
      <c r="N9" s="8"/>
      <c r="O9" s="8"/>
      <c r="P9" s="8"/>
      <c r="Q9" s="8"/>
      <c r="R9" s="8"/>
      <c r="S9" s="8"/>
      <c r="T9" s="8"/>
      <c r="U9" s="8"/>
      <c r="V9" s="8"/>
      <c r="W9" s="8"/>
      <c r="X9" s="8"/>
      <c r="Y9" s="8"/>
      <c r="Z9" s="8"/>
      <c r="AA9" s="8"/>
    </row>
    <row r="10">
      <c r="A10" s="4" t="s">
        <v>50</v>
      </c>
      <c r="B10" s="2" t="s">
        <v>51</v>
      </c>
      <c r="C10" s="4" t="s">
        <v>52</v>
      </c>
      <c r="D10" s="5">
        <v>3.0</v>
      </c>
      <c r="E10" s="5">
        <v>4.0</v>
      </c>
      <c r="F10" s="5">
        <v>2.0</v>
      </c>
      <c r="G10" s="6">
        <f t="shared" si="1"/>
        <v>12</v>
      </c>
      <c r="H10" s="4" t="s">
        <v>53</v>
      </c>
      <c r="I10" s="9">
        <v>46162.0</v>
      </c>
      <c r="J10" s="4" t="s">
        <v>54</v>
      </c>
      <c r="K10" s="4" t="s">
        <v>55</v>
      </c>
      <c r="L10" s="4" t="s">
        <v>24</v>
      </c>
      <c r="M10" s="8"/>
      <c r="N10" s="8"/>
      <c r="O10" s="8"/>
      <c r="P10" s="8"/>
      <c r="Q10" s="8"/>
      <c r="R10" s="8"/>
      <c r="S10" s="8"/>
      <c r="T10" s="8"/>
      <c r="U10" s="8"/>
      <c r="V10" s="8"/>
      <c r="W10" s="8"/>
      <c r="X10" s="8"/>
      <c r="Y10" s="8"/>
      <c r="Z10" s="8"/>
      <c r="AA10" s="8"/>
    </row>
    <row r="11">
      <c r="A11" s="8"/>
      <c r="B11" s="2" t="s">
        <v>56</v>
      </c>
      <c r="C11" s="4" t="s">
        <v>57</v>
      </c>
      <c r="D11" s="5">
        <v>3.0</v>
      </c>
      <c r="E11" s="5">
        <v>4.0</v>
      </c>
      <c r="F11" s="5">
        <v>2.0</v>
      </c>
      <c r="G11" s="6">
        <f t="shared" si="1"/>
        <v>12</v>
      </c>
      <c r="H11" s="4" t="s">
        <v>53</v>
      </c>
      <c r="I11" s="9">
        <v>46183.0</v>
      </c>
      <c r="J11" s="4" t="s">
        <v>58</v>
      </c>
      <c r="K11" s="4" t="s">
        <v>59</v>
      </c>
      <c r="L11" s="4" t="s">
        <v>19</v>
      </c>
      <c r="M11" s="8"/>
      <c r="N11" s="8"/>
      <c r="O11" s="8"/>
      <c r="P11" s="8"/>
      <c r="Q11" s="8"/>
      <c r="R11" s="8"/>
      <c r="S11" s="8"/>
      <c r="T11" s="8"/>
      <c r="U11" s="8"/>
      <c r="V11" s="8"/>
      <c r="W11" s="8"/>
      <c r="X11" s="8"/>
      <c r="Y11" s="8"/>
      <c r="Z11" s="8"/>
      <c r="AA11" s="8"/>
    </row>
    <row r="12">
      <c r="A12" s="8"/>
      <c r="B12" s="2" t="s">
        <v>60</v>
      </c>
      <c r="C12" s="4" t="s">
        <v>61</v>
      </c>
      <c r="D12" s="5">
        <v>2.0</v>
      </c>
      <c r="E12" s="5">
        <v>4.0</v>
      </c>
      <c r="F12" s="5">
        <v>2.0</v>
      </c>
      <c r="G12" s="6">
        <f t="shared" si="1"/>
        <v>16</v>
      </c>
      <c r="H12" s="4" t="s">
        <v>53</v>
      </c>
      <c r="I12" s="9">
        <v>46175.0</v>
      </c>
      <c r="J12" s="4" t="s">
        <v>62</v>
      </c>
      <c r="K12" s="4" t="s">
        <v>63</v>
      </c>
      <c r="L12" s="4" t="s">
        <v>19</v>
      </c>
      <c r="M12" s="8"/>
      <c r="N12" s="8"/>
      <c r="O12" s="8"/>
      <c r="P12" s="8"/>
      <c r="Q12" s="8"/>
      <c r="R12" s="8"/>
      <c r="S12" s="8"/>
      <c r="T12" s="8"/>
      <c r="U12" s="8"/>
      <c r="V12" s="8"/>
      <c r="W12" s="8"/>
      <c r="X12" s="8"/>
      <c r="Y12" s="8"/>
      <c r="Z12" s="8"/>
      <c r="AA12" s="8"/>
    </row>
    <row r="13">
      <c r="A13" s="4" t="s">
        <v>64</v>
      </c>
      <c r="B13" s="2" t="s">
        <v>65</v>
      </c>
      <c r="C13" s="4" t="s">
        <v>66</v>
      </c>
      <c r="D13" s="5">
        <v>2.0</v>
      </c>
      <c r="E13" s="5">
        <v>3.0</v>
      </c>
      <c r="F13" s="5">
        <v>1.0</v>
      </c>
      <c r="G13" s="6">
        <f t="shared" si="1"/>
        <v>12</v>
      </c>
      <c r="H13" s="4" t="s">
        <v>67</v>
      </c>
      <c r="I13" s="9">
        <v>46183.0</v>
      </c>
      <c r="J13" s="4" t="s">
        <v>68</v>
      </c>
      <c r="K13" s="4" t="s">
        <v>69</v>
      </c>
      <c r="L13" s="4" t="s">
        <v>19</v>
      </c>
      <c r="M13" s="8"/>
      <c r="N13" s="8"/>
      <c r="O13" s="8"/>
      <c r="P13" s="8"/>
      <c r="Q13" s="8"/>
      <c r="R13" s="8"/>
      <c r="S13" s="8"/>
      <c r="T13" s="8"/>
      <c r="U13" s="8"/>
      <c r="V13" s="8"/>
      <c r="W13" s="8"/>
      <c r="X13" s="8"/>
      <c r="Y13" s="8"/>
      <c r="Z13" s="8"/>
      <c r="AA13" s="8"/>
    </row>
    <row r="14">
      <c r="A14" s="8"/>
      <c r="B14" s="2" t="s">
        <v>70</v>
      </c>
      <c r="C14" s="4" t="s">
        <v>71</v>
      </c>
      <c r="D14" s="5">
        <v>2.0</v>
      </c>
      <c r="E14" s="5">
        <v>4.0</v>
      </c>
      <c r="F14" s="5">
        <v>2.0</v>
      </c>
      <c r="G14" s="6">
        <f t="shared" si="1"/>
        <v>16</v>
      </c>
      <c r="H14" s="4" t="s">
        <v>72</v>
      </c>
      <c r="I14" s="9">
        <v>46183.0</v>
      </c>
      <c r="J14" s="4" t="s">
        <v>73</v>
      </c>
      <c r="K14" s="4" t="s">
        <v>74</v>
      </c>
      <c r="L14" s="4" t="s">
        <v>19</v>
      </c>
      <c r="M14" s="8"/>
      <c r="N14" s="8"/>
      <c r="O14" s="8"/>
      <c r="P14" s="8"/>
      <c r="Q14" s="8"/>
      <c r="R14" s="8"/>
      <c r="S14" s="8"/>
      <c r="T14" s="8"/>
      <c r="U14" s="8"/>
      <c r="V14" s="8"/>
      <c r="W14" s="8"/>
      <c r="X14" s="8"/>
      <c r="Y14" s="8"/>
      <c r="Z14" s="8"/>
      <c r="AA14" s="8"/>
    </row>
    <row r="15">
      <c r="A15" s="8"/>
      <c r="B15" s="2" t="s">
        <v>75</v>
      </c>
      <c r="C15" s="4" t="s">
        <v>76</v>
      </c>
      <c r="D15" s="5">
        <v>1.0</v>
      </c>
      <c r="E15" s="5">
        <v>5.0</v>
      </c>
      <c r="F15" s="5">
        <v>1.0</v>
      </c>
      <c r="G15" s="6">
        <f t="shared" si="1"/>
        <v>5</v>
      </c>
      <c r="H15" s="4" t="s">
        <v>77</v>
      </c>
      <c r="I15" s="9">
        <v>46175.0</v>
      </c>
      <c r="J15" s="4" t="s">
        <v>78</v>
      </c>
      <c r="K15" s="4" t="s">
        <v>79</v>
      </c>
      <c r="L15" s="4" t="s">
        <v>19</v>
      </c>
      <c r="M15" s="8"/>
      <c r="N15" s="8"/>
      <c r="O15" s="8"/>
      <c r="P15" s="8"/>
      <c r="Q15" s="8"/>
      <c r="R15" s="8"/>
      <c r="S15" s="8"/>
      <c r="T15" s="8"/>
      <c r="U15" s="8"/>
      <c r="V15" s="8"/>
      <c r="W15" s="8"/>
      <c r="X15" s="8"/>
      <c r="Y15" s="8"/>
      <c r="Z15" s="8"/>
      <c r="AA15" s="8"/>
    </row>
    <row r="16">
      <c r="A16" s="4" t="s">
        <v>80</v>
      </c>
      <c r="B16" s="2" t="s">
        <v>81</v>
      </c>
      <c r="C16" s="4" t="s">
        <v>82</v>
      </c>
      <c r="D16" s="5">
        <v>3.0</v>
      </c>
      <c r="E16" s="5">
        <v>4.0</v>
      </c>
      <c r="F16" s="5">
        <v>2.0</v>
      </c>
      <c r="G16" s="6">
        <f t="shared" si="1"/>
        <v>12</v>
      </c>
      <c r="H16" s="4" t="s">
        <v>83</v>
      </c>
      <c r="I16" s="9">
        <v>46168.0</v>
      </c>
      <c r="J16" s="4" t="s">
        <v>84</v>
      </c>
      <c r="K16" s="4" t="s">
        <v>85</v>
      </c>
      <c r="L16" s="4" t="s">
        <v>24</v>
      </c>
      <c r="M16" s="8"/>
      <c r="N16" s="8"/>
      <c r="O16" s="8"/>
      <c r="P16" s="8"/>
      <c r="Q16" s="8"/>
      <c r="R16" s="8"/>
      <c r="S16" s="8"/>
      <c r="T16" s="8"/>
      <c r="U16" s="8"/>
      <c r="V16" s="8"/>
      <c r="W16" s="8"/>
      <c r="X16" s="8"/>
      <c r="Y16" s="8"/>
      <c r="Z16" s="8"/>
      <c r="AA16" s="8"/>
    </row>
    <row r="17">
      <c r="A17" s="8"/>
      <c r="B17" s="2" t="s">
        <v>86</v>
      </c>
      <c r="C17" s="4" t="s">
        <v>87</v>
      </c>
      <c r="D17" s="5">
        <v>2.0</v>
      </c>
      <c r="E17" s="5">
        <v>4.0</v>
      </c>
      <c r="F17" s="5">
        <v>3.0</v>
      </c>
      <c r="G17" s="6">
        <f t="shared" si="1"/>
        <v>24</v>
      </c>
      <c r="H17" s="4" t="s">
        <v>83</v>
      </c>
      <c r="I17" s="9">
        <v>46162.0</v>
      </c>
      <c r="J17" s="4" t="s">
        <v>88</v>
      </c>
      <c r="K17" s="4" t="s">
        <v>89</v>
      </c>
      <c r="L17" s="4" t="s">
        <v>24</v>
      </c>
      <c r="M17" s="8"/>
      <c r="N17" s="8"/>
      <c r="O17" s="8"/>
      <c r="P17" s="8"/>
      <c r="Q17" s="8"/>
      <c r="R17" s="8"/>
      <c r="S17" s="8"/>
      <c r="T17" s="8"/>
      <c r="U17" s="8"/>
      <c r="V17" s="8"/>
      <c r="W17" s="8"/>
      <c r="X17" s="8"/>
      <c r="Y17" s="8"/>
      <c r="Z17" s="8"/>
      <c r="AA17" s="8"/>
    </row>
    <row r="18">
      <c r="A18" s="8"/>
      <c r="B18" s="2" t="s">
        <v>90</v>
      </c>
      <c r="C18" s="4" t="s">
        <v>91</v>
      </c>
      <c r="D18" s="5">
        <v>2.0</v>
      </c>
      <c r="E18" s="5">
        <v>4.0</v>
      </c>
      <c r="F18" s="5">
        <v>2.0</v>
      </c>
      <c r="G18" s="6">
        <f t="shared" si="1"/>
        <v>16</v>
      </c>
      <c r="H18" s="4" t="s">
        <v>83</v>
      </c>
      <c r="I18" s="9">
        <v>46168.0</v>
      </c>
      <c r="J18" s="4" t="s">
        <v>92</v>
      </c>
      <c r="K18" s="4" t="s">
        <v>93</v>
      </c>
      <c r="L18" s="4" t="s">
        <v>19</v>
      </c>
      <c r="M18" s="8"/>
      <c r="N18" s="8"/>
      <c r="O18" s="8"/>
      <c r="P18" s="8"/>
      <c r="Q18" s="8"/>
      <c r="R18" s="8"/>
      <c r="S18" s="8"/>
      <c r="T18" s="8"/>
      <c r="U18" s="8"/>
      <c r="V18" s="8"/>
      <c r="W18" s="8"/>
      <c r="X18" s="8"/>
      <c r="Y18" s="8"/>
      <c r="Z18" s="8"/>
      <c r="AA18" s="8"/>
    </row>
    <row r="19">
      <c r="A19" s="8"/>
      <c r="B19" s="2" t="s">
        <v>94</v>
      </c>
      <c r="C19" s="4" t="s">
        <v>95</v>
      </c>
      <c r="D19" s="5">
        <v>2.0</v>
      </c>
      <c r="E19" s="5">
        <v>3.0</v>
      </c>
      <c r="F19" s="5">
        <v>2.0</v>
      </c>
      <c r="G19" s="6">
        <f t="shared" si="1"/>
        <v>24</v>
      </c>
      <c r="H19" s="4" t="s">
        <v>96</v>
      </c>
      <c r="I19" s="9">
        <v>46166.0</v>
      </c>
      <c r="J19" s="4" t="s">
        <v>97</v>
      </c>
      <c r="K19" s="4" t="s">
        <v>98</v>
      </c>
      <c r="L19" s="4" t="s">
        <v>24</v>
      </c>
      <c r="M19" s="8"/>
      <c r="N19" s="8"/>
      <c r="O19" s="8"/>
      <c r="P19" s="8"/>
      <c r="Q19" s="8"/>
      <c r="R19" s="8"/>
      <c r="S19" s="8"/>
      <c r="T19" s="8"/>
      <c r="U19" s="8"/>
      <c r="V19" s="8"/>
      <c r="W19" s="8"/>
      <c r="X19" s="8"/>
      <c r="Y19" s="8"/>
      <c r="Z19" s="8"/>
      <c r="AA19" s="8"/>
    </row>
    <row r="20">
      <c r="A20" s="8"/>
      <c r="B20" s="2" t="s">
        <v>99</v>
      </c>
      <c r="C20" s="4" t="s">
        <v>100</v>
      </c>
      <c r="D20" s="5">
        <v>1.0</v>
      </c>
      <c r="E20" s="5">
        <v>1.0</v>
      </c>
      <c r="F20" s="5">
        <v>1.0</v>
      </c>
      <c r="G20" s="6">
        <f t="shared" si="1"/>
        <v>25</v>
      </c>
      <c r="H20" s="4" t="s">
        <v>101</v>
      </c>
      <c r="I20" s="9">
        <v>46158.0</v>
      </c>
      <c r="J20" s="4" t="s">
        <v>102</v>
      </c>
      <c r="K20" s="4" t="s">
        <v>103</v>
      </c>
      <c r="L20" s="4" t="s">
        <v>24</v>
      </c>
      <c r="M20" s="8"/>
      <c r="N20" s="8"/>
      <c r="O20" s="8"/>
      <c r="P20" s="8"/>
      <c r="Q20" s="8"/>
      <c r="R20" s="8"/>
      <c r="S20" s="8"/>
      <c r="T20" s="8"/>
      <c r="U20" s="8"/>
      <c r="V20" s="8"/>
      <c r="W20" s="8"/>
      <c r="X20" s="8"/>
      <c r="Y20" s="8"/>
      <c r="Z20" s="8"/>
      <c r="AA20" s="8"/>
    </row>
    <row r="21">
      <c r="A21" s="4" t="s">
        <v>104</v>
      </c>
      <c r="B21" s="2" t="s">
        <v>105</v>
      </c>
      <c r="C21" s="4" t="s">
        <v>106</v>
      </c>
      <c r="D21" s="5">
        <v>3.0</v>
      </c>
      <c r="E21" s="5">
        <v>4.0</v>
      </c>
      <c r="F21" s="5">
        <v>3.0</v>
      </c>
      <c r="G21" s="6">
        <f t="shared" si="1"/>
        <v>18</v>
      </c>
      <c r="H21" s="4" t="s">
        <v>77</v>
      </c>
      <c r="I21" s="9">
        <v>46175.0</v>
      </c>
      <c r="J21" s="4" t="s">
        <v>107</v>
      </c>
      <c r="K21" s="4" t="s">
        <v>108</v>
      </c>
      <c r="L21" s="4" t="s">
        <v>19</v>
      </c>
      <c r="M21" s="8"/>
      <c r="N21" s="8"/>
      <c r="O21" s="8"/>
      <c r="P21" s="8"/>
      <c r="Q21" s="8"/>
      <c r="R21" s="8"/>
      <c r="S21" s="8"/>
      <c r="T21" s="8"/>
      <c r="U21" s="8"/>
      <c r="V21" s="8"/>
      <c r="W21" s="8"/>
      <c r="X21" s="8"/>
      <c r="Y21" s="8"/>
      <c r="Z21" s="8"/>
      <c r="AA21" s="8"/>
    </row>
    <row r="22">
      <c r="A22" s="4"/>
      <c r="B22" s="2" t="s">
        <v>109</v>
      </c>
      <c r="C22" s="4" t="s">
        <v>110</v>
      </c>
      <c r="D22" s="5">
        <v>2.0</v>
      </c>
      <c r="E22" s="5">
        <v>4.0</v>
      </c>
      <c r="F22" s="5">
        <v>3.0</v>
      </c>
      <c r="G22" s="6">
        <f t="shared" si="1"/>
        <v>24</v>
      </c>
      <c r="H22" s="4" t="s">
        <v>77</v>
      </c>
      <c r="I22" s="9">
        <v>46166.0</v>
      </c>
      <c r="J22" s="4" t="s">
        <v>111</v>
      </c>
      <c r="K22" s="4" t="s">
        <v>112</v>
      </c>
      <c r="L22" s="4" t="s">
        <v>24</v>
      </c>
      <c r="M22" s="8"/>
      <c r="N22" s="8"/>
      <c r="O22" s="8"/>
      <c r="P22" s="8"/>
      <c r="Q22" s="8"/>
      <c r="R22" s="8"/>
      <c r="S22" s="8"/>
      <c r="T22" s="8"/>
      <c r="U22" s="8"/>
      <c r="V22" s="8"/>
      <c r="W22" s="8"/>
      <c r="X22" s="8"/>
      <c r="Y22" s="8"/>
      <c r="Z22" s="8"/>
      <c r="AA22" s="8"/>
    </row>
    <row r="23">
      <c r="A23" s="4"/>
      <c r="B23" s="2" t="s">
        <v>113</v>
      </c>
      <c r="C23" s="4" t="s">
        <v>114</v>
      </c>
      <c r="D23" s="5">
        <v>3.0</v>
      </c>
      <c r="E23" s="5">
        <v>4.0</v>
      </c>
      <c r="F23" s="5">
        <v>3.0</v>
      </c>
      <c r="G23" s="6">
        <f t="shared" si="1"/>
        <v>18</v>
      </c>
      <c r="H23" s="4" t="s">
        <v>115</v>
      </c>
      <c r="I23" s="9">
        <v>46175.0</v>
      </c>
      <c r="J23" s="4" t="s">
        <v>116</v>
      </c>
      <c r="K23" s="4" t="s">
        <v>117</v>
      </c>
      <c r="L23" s="4" t="s">
        <v>19</v>
      </c>
      <c r="M23" s="8"/>
      <c r="N23" s="8"/>
      <c r="O23" s="8"/>
      <c r="P23" s="8"/>
      <c r="Q23" s="8"/>
      <c r="R23" s="8"/>
      <c r="S23" s="8"/>
      <c r="T23" s="8"/>
      <c r="U23" s="8"/>
      <c r="V23" s="8"/>
      <c r="W23" s="8"/>
      <c r="X23" s="8"/>
      <c r="Y23" s="8"/>
      <c r="Z23" s="8"/>
      <c r="AA23" s="8"/>
    </row>
    <row r="24">
      <c r="A24" s="4" t="s">
        <v>118</v>
      </c>
      <c r="B24" s="2" t="s">
        <v>119</v>
      </c>
      <c r="C24" s="4" t="s">
        <v>120</v>
      </c>
      <c r="D24" s="5">
        <v>2.0</v>
      </c>
      <c r="E24" s="5">
        <v>4.0</v>
      </c>
      <c r="F24" s="5">
        <v>2.0</v>
      </c>
      <c r="G24" s="6">
        <f t="shared" si="1"/>
        <v>16</v>
      </c>
      <c r="H24" s="4" t="s">
        <v>121</v>
      </c>
      <c r="I24" s="9">
        <v>46183.0</v>
      </c>
      <c r="J24" s="4" t="s">
        <v>122</v>
      </c>
      <c r="K24" s="4" t="s">
        <v>123</v>
      </c>
      <c r="L24" s="4" t="s">
        <v>19</v>
      </c>
      <c r="M24" s="8"/>
      <c r="N24" s="8"/>
      <c r="O24" s="8"/>
      <c r="P24" s="8"/>
      <c r="Q24" s="8"/>
      <c r="R24" s="8"/>
      <c r="S24" s="8"/>
      <c r="T24" s="8"/>
      <c r="U24" s="8"/>
      <c r="V24" s="8"/>
      <c r="W24" s="8"/>
      <c r="X24" s="8"/>
      <c r="Y24" s="8"/>
      <c r="Z24" s="8"/>
      <c r="AA24" s="8"/>
    </row>
    <row r="25">
      <c r="A25" s="4" t="s">
        <v>124</v>
      </c>
      <c r="B25" s="11" t="s">
        <v>125</v>
      </c>
      <c r="C25" s="4" t="s">
        <v>126</v>
      </c>
      <c r="D25" s="5">
        <v>3.0</v>
      </c>
      <c r="E25" s="5">
        <v>5.0</v>
      </c>
      <c r="F25" s="5">
        <v>2.0</v>
      </c>
      <c r="G25" s="6">
        <f t="shared" si="1"/>
        <v>6</v>
      </c>
      <c r="H25" s="4" t="s">
        <v>127</v>
      </c>
      <c r="I25" s="9">
        <v>46175.0</v>
      </c>
      <c r="J25" s="4" t="s">
        <v>128</v>
      </c>
      <c r="K25" s="4" t="s">
        <v>129</v>
      </c>
      <c r="L25" s="4" t="s">
        <v>19</v>
      </c>
      <c r="M25" s="8"/>
      <c r="N25" s="8"/>
      <c r="O25" s="8"/>
      <c r="P25" s="8"/>
      <c r="Q25" s="8"/>
      <c r="R25" s="8"/>
      <c r="S25" s="8"/>
      <c r="T25" s="8"/>
      <c r="U25" s="8"/>
      <c r="V25" s="8"/>
      <c r="W25" s="8"/>
      <c r="X25" s="8"/>
      <c r="Y25" s="8"/>
      <c r="Z25" s="8"/>
      <c r="AA25" s="8"/>
    </row>
    <row r="26">
      <c r="A26" s="2"/>
      <c r="B26" s="3"/>
      <c r="C26" s="8"/>
      <c r="D26" s="12"/>
      <c r="E26" s="13"/>
      <c r="F26" s="13"/>
      <c r="G26" s="13"/>
      <c r="H26" s="8"/>
      <c r="I26" s="14"/>
      <c r="J26" s="8"/>
      <c r="K26" s="8"/>
      <c r="L26" s="8"/>
      <c r="M26" s="15"/>
      <c r="N26" s="15"/>
      <c r="O26" s="15"/>
      <c r="P26" s="15"/>
      <c r="Q26" s="15"/>
      <c r="R26" s="15"/>
      <c r="S26" s="15"/>
      <c r="T26" s="15"/>
      <c r="U26" s="15"/>
      <c r="V26" s="15"/>
      <c r="W26" s="15"/>
      <c r="X26" s="15"/>
      <c r="Y26" s="15"/>
      <c r="Z26" s="15"/>
      <c r="AA26" s="15"/>
    </row>
    <row r="27">
      <c r="A27" s="16"/>
      <c r="C27" s="15"/>
      <c r="D27" s="17"/>
      <c r="E27" s="18"/>
      <c r="F27" s="18"/>
      <c r="G27" s="18"/>
      <c r="H27" s="15"/>
      <c r="I27" s="19"/>
      <c r="J27" s="20"/>
      <c r="K27" s="15"/>
      <c r="L27" s="15"/>
      <c r="M27" s="15"/>
      <c r="N27" s="15"/>
      <c r="O27" s="15"/>
      <c r="P27" s="15"/>
      <c r="Q27" s="15"/>
      <c r="R27" s="15"/>
      <c r="S27" s="15"/>
      <c r="T27" s="15"/>
      <c r="U27" s="15"/>
      <c r="V27" s="15"/>
      <c r="W27" s="15"/>
      <c r="X27" s="15"/>
      <c r="Y27" s="15"/>
      <c r="Z27" s="15"/>
      <c r="AA27" s="15"/>
    </row>
    <row r="28">
      <c r="A28" s="16"/>
      <c r="C28" s="15"/>
      <c r="D28" s="18"/>
      <c r="E28" s="18"/>
      <c r="F28" s="18"/>
      <c r="G28" s="18"/>
      <c r="H28" s="15"/>
      <c r="I28" s="19"/>
      <c r="J28" s="15"/>
      <c r="K28" s="15"/>
      <c r="L28" s="15"/>
      <c r="M28" s="15"/>
      <c r="N28" s="15"/>
      <c r="O28" s="15"/>
      <c r="P28" s="15"/>
      <c r="Q28" s="15"/>
      <c r="R28" s="15"/>
      <c r="S28" s="15"/>
      <c r="T28" s="15"/>
      <c r="U28" s="15"/>
      <c r="V28" s="15"/>
      <c r="W28" s="15"/>
      <c r="X28" s="15"/>
      <c r="Y28" s="15"/>
      <c r="Z28" s="15"/>
      <c r="AA28" s="15"/>
    </row>
    <row r="29">
      <c r="A29" s="15"/>
      <c r="C29" s="15"/>
      <c r="D29" s="18"/>
      <c r="E29" s="18"/>
      <c r="F29" s="18"/>
      <c r="G29" s="18"/>
      <c r="H29" s="15"/>
      <c r="I29" s="19"/>
      <c r="J29" s="20"/>
      <c r="K29" s="15"/>
      <c r="L29" s="15"/>
      <c r="M29" s="15"/>
      <c r="N29" s="15"/>
      <c r="O29" s="15"/>
      <c r="P29" s="15"/>
      <c r="Q29" s="15"/>
      <c r="R29" s="15"/>
      <c r="S29" s="15"/>
      <c r="T29" s="15"/>
      <c r="U29" s="15"/>
      <c r="V29" s="15"/>
      <c r="W29" s="15"/>
      <c r="X29" s="15"/>
      <c r="Y29" s="15"/>
      <c r="Z29" s="15"/>
      <c r="AA29" s="15"/>
    </row>
    <row r="30">
      <c r="A30" s="15"/>
      <c r="C30" s="15"/>
      <c r="D30" s="18"/>
      <c r="E30" s="18"/>
      <c r="F30" s="18"/>
      <c r="G30" s="18"/>
      <c r="H30" s="15"/>
      <c r="I30" s="19"/>
      <c r="J30" s="20"/>
      <c r="K30" s="21"/>
      <c r="L30" s="21"/>
      <c r="M30" s="15"/>
      <c r="N30" s="15"/>
      <c r="O30" s="15"/>
      <c r="P30" s="15"/>
      <c r="Q30" s="15"/>
      <c r="R30" s="15"/>
      <c r="S30" s="15"/>
      <c r="T30" s="15"/>
      <c r="U30" s="15"/>
      <c r="V30" s="15"/>
      <c r="W30" s="15"/>
      <c r="X30" s="15"/>
      <c r="Y30" s="15"/>
      <c r="Z30" s="15"/>
      <c r="AA30" s="15"/>
    </row>
    <row r="31">
      <c r="A31" s="15"/>
      <c r="C31" s="15"/>
      <c r="D31" s="18"/>
      <c r="E31" s="18"/>
      <c r="F31" s="18"/>
      <c r="G31" s="18"/>
      <c r="H31" s="15"/>
      <c r="I31" s="19"/>
      <c r="J31" s="20"/>
      <c r="K31" s="15"/>
      <c r="L31" s="15"/>
      <c r="M31" s="15"/>
      <c r="N31" s="15"/>
      <c r="O31" s="15"/>
      <c r="P31" s="15"/>
      <c r="Q31" s="15"/>
      <c r="R31" s="15"/>
      <c r="S31" s="15"/>
      <c r="T31" s="15"/>
      <c r="U31" s="15"/>
      <c r="V31" s="15"/>
      <c r="W31" s="15"/>
      <c r="X31" s="15"/>
      <c r="Y31" s="15"/>
      <c r="Z31" s="15"/>
      <c r="AA31" s="15"/>
    </row>
    <row r="32">
      <c r="A32" s="15"/>
      <c r="C32" s="15"/>
      <c r="D32" s="18"/>
      <c r="E32" s="18"/>
      <c r="F32" s="18"/>
      <c r="G32" s="18"/>
      <c r="H32" s="15"/>
      <c r="I32" s="19"/>
      <c r="J32" s="20"/>
      <c r="K32" s="21"/>
      <c r="L32" s="21"/>
      <c r="M32" s="15"/>
      <c r="N32" s="15"/>
      <c r="O32" s="15"/>
      <c r="P32" s="15"/>
      <c r="Q32" s="15"/>
      <c r="R32" s="15"/>
      <c r="S32" s="15"/>
      <c r="T32" s="15"/>
      <c r="U32" s="15"/>
      <c r="V32" s="15"/>
      <c r="W32" s="15"/>
      <c r="X32" s="15"/>
      <c r="Y32" s="15"/>
      <c r="Z32" s="15"/>
      <c r="AA32" s="15"/>
    </row>
    <row r="33">
      <c r="A33" s="15"/>
      <c r="C33" s="15"/>
      <c r="D33" s="18"/>
      <c r="E33" s="18"/>
      <c r="F33" s="18"/>
      <c r="G33" s="18"/>
      <c r="H33" s="15"/>
      <c r="I33" s="19"/>
      <c r="J33" s="20"/>
      <c r="K33" s="21"/>
      <c r="L33" s="21"/>
      <c r="M33" s="21"/>
      <c r="N33" s="15"/>
      <c r="O33" s="15"/>
      <c r="P33" s="15"/>
      <c r="Q33" s="15"/>
      <c r="R33" s="15"/>
      <c r="S33" s="15"/>
      <c r="T33" s="15"/>
      <c r="U33" s="15"/>
      <c r="V33" s="15"/>
      <c r="W33" s="15"/>
      <c r="X33" s="15"/>
      <c r="Y33" s="15"/>
      <c r="Z33" s="15"/>
      <c r="AA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row>
    <row r="35">
      <c r="A35" s="8"/>
      <c r="B35" s="8"/>
      <c r="C35" s="8"/>
      <c r="D35" s="18"/>
      <c r="E35" s="18"/>
      <c r="F35" s="18"/>
      <c r="G35" s="15"/>
      <c r="H35" s="15"/>
      <c r="I35" s="15"/>
      <c r="J35" s="8"/>
      <c r="K35" s="15"/>
      <c r="L35" s="15"/>
      <c r="M35" s="15"/>
      <c r="N35" s="15"/>
      <c r="O35" s="15"/>
      <c r="P35" s="15"/>
      <c r="Q35" s="15"/>
      <c r="R35" s="15"/>
      <c r="S35" s="15"/>
      <c r="T35" s="15"/>
      <c r="U35" s="15"/>
      <c r="V35" s="15"/>
      <c r="W35" s="15"/>
      <c r="X35" s="15"/>
      <c r="Y35" s="15"/>
      <c r="Z35" s="15"/>
      <c r="AA35" s="15"/>
    </row>
    <row r="36">
      <c r="A36" s="8"/>
      <c r="B36" s="8"/>
      <c r="C36" s="8"/>
      <c r="D36" s="18"/>
      <c r="E36" s="18"/>
      <c r="F36" s="18"/>
      <c r="G36" s="15"/>
      <c r="H36" s="15"/>
      <c r="I36" s="15"/>
      <c r="J36" s="8"/>
      <c r="K36" s="15"/>
      <c r="L36" s="15"/>
      <c r="M36" s="15"/>
      <c r="N36" s="15"/>
      <c r="O36" s="15"/>
      <c r="P36" s="15"/>
      <c r="Q36" s="15"/>
      <c r="R36" s="15"/>
      <c r="S36" s="15"/>
      <c r="T36" s="15"/>
      <c r="U36" s="15"/>
      <c r="V36" s="15"/>
      <c r="W36" s="15"/>
      <c r="X36" s="15"/>
      <c r="Y36" s="15"/>
      <c r="Z36" s="15"/>
      <c r="AA36" s="15"/>
    </row>
    <row r="37">
      <c r="A37" s="8"/>
      <c r="B37" s="8"/>
      <c r="C37" s="8"/>
      <c r="D37" s="18"/>
      <c r="E37" s="18"/>
      <c r="F37" s="18"/>
      <c r="G37" s="15"/>
      <c r="H37" s="15"/>
      <c r="I37" s="15"/>
      <c r="J37" s="8"/>
      <c r="K37" s="15"/>
      <c r="L37" s="15"/>
      <c r="M37" s="15"/>
      <c r="N37" s="15"/>
      <c r="O37" s="15"/>
      <c r="P37" s="15"/>
      <c r="Q37" s="15"/>
      <c r="R37" s="15"/>
      <c r="S37" s="15"/>
      <c r="T37" s="15"/>
      <c r="U37" s="15"/>
      <c r="V37" s="15"/>
      <c r="W37" s="15"/>
      <c r="X37" s="15"/>
      <c r="Y37" s="15"/>
      <c r="Z37" s="15"/>
      <c r="AA37" s="15"/>
    </row>
    <row r="38">
      <c r="A38" s="8"/>
      <c r="B38" s="8"/>
      <c r="C38" s="8"/>
      <c r="D38" s="18"/>
      <c r="E38" s="18"/>
      <c r="F38" s="18"/>
      <c r="G38" s="15"/>
      <c r="H38" s="15"/>
      <c r="I38" s="15"/>
      <c r="J38" s="8"/>
      <c r="K38" s="15"/>
      <c r="L38" s="15"/>
      <c r="M38" s="15"/>
      <c r="N38" s="15"/>
      <c r="O38" s="15"/>
      <c r="P38" s="15"/>
      <c r="Q38" s="15"/>
      <c r="R38" s="15"/>
      <c r="S38" s="15"/>
      <c r="T38" s="15"/>
      <c r="U38" s="15"/>
      <c r="V38" s="15"/>
      <c r="W38" s="15"/>
      <c r="X38" s="15"/>
      <c r="Y38" s="15"/>
      <c r="Z38" s="15"/>
      <c r="AA38" s="15"/>
    </row>
    <row r="39">
      <c r="A39" s="8"/>
      <c r="D39" s="18"/>
      <c r="E39" s="18"/>
      <c r="F39" s="18"/>
      <c r="G39" s="15"/>
      <c r="H39" s="15"/>
      <c r="I39" s="15"/>
      <c r="J39" s="8"/>
      <c r="K39" s="15"/>
      <c r="L39" s="15"/>
      <c r="M39" s="15"/>
      <c r="N39" s="15"/>
      <c r="O39" s="15"/>
      <c r="P39" s="15"/>
      <c r="Q39" s="15"/>
      <c r="R39" s="15"/>
      <c r="S39" s="15"/>
      <c r="T39" s="15"/>
      <c r="U39" s="15"/>
      <c r="V39" s="15"/>
      <c r="W39" s="15"/>
      <c r="X39" s="15"/>
      <c r="Y39" s="15"/>
      <c r="Z39" s="15"/>
      <c r="AA39" s="15"/>
    </row>
    <row r="40">
      <c r="A40" s="8"/>
      <c r="B40" s="8"/>
      <c r="C40" s="8"/>
      <c r="D40" s="18"/>
      <c r="E40" s="18"/>
      <c r="F40" s="18"/>
      <c r="G40" s="15"/>
      <c r="H40" s="15"/>
      <c r="I40" s="15"/>
      <c r="J40" s="8"/>
      <c r="K40" s="15"/>
      <c r="L40" s="15"/>
      <c r="M40" s="15"/>
      <c r="N40" s="15"/>
      <c r="O40" s="15"/>
      <c r="P40" s="15"/>
      <c r="Q40" s="15"/>
      <c r="R40" s="15"/>
      <c r="S40" s="15"/>
      <c r="T40" s="15"/>
      <c r="U40" s="15"/>
      <c r="V40" s="15"/>
      <c r="W40" s="15"/>
      <c r="X40" s="15"/>
      <c r="Y40" s="15"/>
      <c r="Z40" s="15"/>
      <c r="AA40" s="15"/>
    </row>
    <row r="41">
      <c r="A41" s="8"/>
      <c r="B41" s="8"/>
      <c r="C41" s="8"/>
      <c r="D41" s="18"/>
      <c r="E41" s="15"/>
      <c r="F41" s="15"/>
      <c r="G41" s="15"/>
      <c r="H41" s="15"/>
      <c r="I41" s="15"/>
      <c r="J41" s="8"/>
      <c r="K41" s="15"/>
      <c r="L41" s="15"/>
      <c r="M41" s="15"/>
      <c r="N41" s="15"/>
      <c r="O41" s="15"/>
      <c r="P41" s="15"/>
      <c r="Q41" s="15"/>
      <c r="R41" s="15"/>
      <c r="S41" s="15"/>
      <c r="T41" s="15"/>
      <c r="U41" s="15"/>
      <c r="V41" s="15"/>
      <c r="W41" s="15"/>
      <c r="X41" s="15"/>
      <c r="Y41" s="15"/>
      <c r="Z41" s="15"/>
      <c r="AA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4">
      <c r="A44" s="15"/>
      <c r="B44" s="15"/>
      <c r="C44" s="8"/>
      <c r="D44" s="18"/>
      <c r="E44" s="18"/>
      <c r="F44" s="15"/>
      <c r="G44" s="18"/>
      <c r="H44" s="15"/>
      <c r="I44" s="15"/>
      <c r="J44" s="20"/>
      <c r="K44" s="21"/>
      <c r="L44" s="21"/>
      <c r="M44" s="21"/>
      <c r="N44" s="15"/>
      <c r="O44" s="15"/>
      <c r="P44" s="15"/>
      <c r="Q44" s="15"/>
      <c r="R44" s="15"/>
      <c r="S44" s="15"/>
      <c r="T44" s="15"/>
      <c r="U44" s="15"/>
      <c r="V44" s="15"/>
      <c r="W44" s="15"/>
      <c r="X44" s="15"/>
      <c r="Y44" s="15"/>
      <c r="Z44" s="15"/>
      <c r="AA44" s="15"/>
    </row>
    <row r="45">
      <c r="A45" s="15"/>
      <c r="B45" s="15"/>
      <c r="C45" s="8"/>
      <c r="D45" s="18"/>
      <c r="E45" s="18"/>
      <c r="F45" s="15"/>
      <c r="G45" s="18"/>
      <c r="H45" s="15"/>
      <c r="I45" s="15"/>
      <c r="J45" s="20"/>
      <c r="K45" s="21"/>
      <c r="L45" s="15"/>
      <c r="M45" s="15"/>
      <c r="N45" s="15"/>
      <c r="O45" s="15"/>
      <c r="P45" s="15"/>
      <c r="Q45" s="15"/>
      <c r="R45" s="15"/>
      <c r="S45" s="15"/>
      <c r="T45" s="15"/>
      <c r="U45" s="15"/>
      <c r="V45" s="15"/>
      <c r="W45" s="15"/>
      <c r="X45" s="15"/>
      <c r="Y45" s="15"/>
      <c r="Z45" s="15"/>
      <c r="AA45" s="15"/>
    </row>
    <row r="46">
      <c r="A46" s="15"/>
      <c r="B46" s="15"/>
      <c r="C46" s="8"/>
      <c r="D46" s="18"/>
      <c r="E46" s="18"/>
      <c r="F46" s="15"/>
      <c r="G46" s="18"/>
      <c r="H46" s="15"/>
      <c r="I46" s="15"/>
      <c r="J46" s="15"/>
      <c r="K46" s="15"/>
      <c r="L46" s="15"/>
      <c r="M46" s="15"/>
      <c r="N46" s="15"/>
      <c r="O46" s="15"/>
      <c r="P46" s="15"/>
      <c r="Q46" s="15"/>
      <c r="R46" s="15"/>
      <c r="S46" s="15"/>
      <c r="T46" s="15"/>
      <c r="U46" s="15"/>
      <c r="V46" s="15"/>
      <c r="W46" s="15"/>
      <c r="X46" s="15"/>
      <c r="Y46" s="15"/>
      <c r="Z46" s="15"/>
      <c r="AA46" s="15"/>
    </row>
    <row r="47">
      <c r="A47" s="15"/>
      <c r="B47" s="15"/>
      <c r="C47" s="8"/>
      <c r="D47" s="18"/>
      <c r="E47" s="18"/>
      <c r="F47" s="15"/>
      <c r="G47" s="18"/>
      <c r="H47" s="15"/>
      <c r="I47" s="15"/>
      <c r="J47" s="15"/>
      <c r="K47" s="15"/>
      <c r="L47" s="15"/>
      <c r="M47" s="15"/>
      <c r="N47" s="15"/>
      <c r="O47" s="15"/>
      <c r="P47" s="15"/>
      <c r="Q47" s="15"/>
      <c r="R47" s="15"/>
      <c r="S47" s="15"/>
      <c r="T47" s="15"/>
      <c r="U47" s="15"/>
      <c r="V47" s="15"/>
      <c r="W47" s="15"/>
      <c r="X47" s="15"/>
      <c r="Y47" s="15"/>
      <c r="Z47" s="15"/>
      <c r="AA47" s="15"/>
    </row>
  </sheetData>
  <drawing r:id="rId1"/>
</worksheet>
</file>