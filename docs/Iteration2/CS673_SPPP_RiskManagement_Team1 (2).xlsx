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<sst xmlns="http://schemas.openxmlformats.org/spreadsheetml/2006/main" count="159" uniqueCount="130">
  <si>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</si>
  <si>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</si>
  <si>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</si>
  <si>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</si>
  <si>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</si>
  <si>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</si>
  <si>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</si>
  <si>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</si>
  <si>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</si>
  <si>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</si>
  <si>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</si>
  <si>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</si>
  <si>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</si>
  <si>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personel </t>
  </si>
  <si>
    <t>Loss team members</t>
  </si>
  <si>
    <t>One or more team members drop the class</t>
  </si>
  <si>
    <t>team leader and all members</t>
  </si>
  <si>
    <t>Redefine the project scope if necessary, and assign the tasks to other team members.</t>
  </si>
  <si>
    <t>We did not lose any team members</t>
  </si>
  <si>
    <t>Closed</t>
  </si>
  <si>
    <t>add new team members</t>
  </si>
  <si>
    <t>One or more team members join</t>
  </si>
  <si>
    <t>reassign roles and tasks between team members</t>
  </si>
  <si>
    <t>Missing team member reached out a week late, we added him into a role and caugt him up on our project</t>
  </si>
  <si>
    <t>Lack of motivation or responsibility</t>
  </si>
  <si>
    <t>One or more team members do not fulfill responsibilities</t>
  </si>
  <si>
    <t>Check in with team member to analyze issue, delegate tasks to other team members if necessary</t>
  </si>
  <si>
    <t>All team members are fulfilling responsibilities</t>
  </si>
  <si>
    <t>Open</t>
  </si>
  <si>
    <t>Communication</t>
  </si>
  <si>
    <t>duplicate work</t>
  </si>
  <si>
    <t>team members are completing the same tasks</t>
  </si>
  <si>
    <t>team members involved, entire team if more input needed</t>
  </si>
  <si>
    <t>Involved team members decide what work to keep and which to scrap, other team members help if more input needed</t>
  </si>
  <si>
    <t>One story overlapped with another, one team member had completed the overlapping work already and the second team member incorporated their work into their own story</t>
  </si>
  <si>
    <t>worked on wrong components</t>
  </si>
  <si>
    <t>team member completed wrong tasks</t>
  </si>
  <si>
    <t>Involved team member</t>
  </si>
  <si>
    <t>If completed work overlaps with another team member, either swap tasks or communicate what to do with the incorrect work</t>
  </si>
  <si>
    <t>Team members are completed correct tasks</t>
  </si>
  <si>
    <t>useless work</t>
  </si>
  <si>
    <t>team member completing work irrelevant to assigned tasks</t>
  </si>
  <si>
    <t>team leader and involved team member</t>
  </si>
  <si>
    <t>team leader reminds member of their responsibilities and needed tasks</t>
  </si>
  <si>
    <t>Everyone is focusing on correct work</t>
  </si>
  <si>
    <t>inconsistent work/not following documentation instructions</t>
  </si>
  <si>
    <t>team member not following instructions given by course documentation or team agreement</t>
  </si>
  <si>
    <t>Involved team member and team lead</t>
  </si>
  <si>
    <t>Team lead redirects team member to instructions, team member updates their current method or work to follow agreed upon instructions</t>
  </si>
  <si>
    <t>Team lead has reached out about documentation instructions and team members have complied</t>
  </si>
  <si>
    <t xml:space="preserve">Requirements </t>
  </si>
  <si>
    <t>unclear requirements</t>
  </si>
  <si>
    <t>requirements are unclear or overlap with existing requirements</t>
  </si>
  <si>
    <t>Requirement lead</t>
  </si>
  <si>
    <t>Requirement lead reviews requirements and updates them so that they are clear, consise, and can be tested/verified</t>
  </si>
  <si>
    <t>requirements are clear</t>
  </si>
  <si>
    <t>scope creep</t>
  </si>
  <si>
    <t>Requirements have grown to be more than what can be accomplished within the scope of the course</t>
  </si>
  <si>
    <t>Requirement Lead reviews requiremtns and assigns priority to necessary requirements adn puts out of scope requirements into backlog</t>
  </si>
  <si>
    <t>We have a clear plan of what we are able to accomplish in the final week</t>
  </si>
  <si>
    <t>constant requirements changes</t>
  </si>
  <si>
    <t>Requirements keep changing or updating during iterations/sprints</t>
  </si>
  <si>
    <t xml:space="preserve">Requirement lead tries to finalize high priority requirements early on and comminicates with team when requirements are being changed or updated. </t>
  </si>
  <si>
    <t>Requirements have been finalized for sprints 2 and 3, with room for adjustment as needed. Team members are awake of which requirments are essential to complete and which would be extra if we have time</t>
  </si>
  <si>
    <t>Management</t>
  </si>
  <si>
    <t>improper task assignments</t>
  </si>
  <si>
    <t>tasks are being assigned to the wrong team members or leads</t>
  </si>
  <si>
    <t>Team lead</t>
  </si>
  <si>
    <t>Team lead reviews tasks for the week and team roles, reassigning tasks to proper team members as needed</t>
  </si>
  <si>
    <t>Tasks align with roles</t>
  </si>
  <si>
    <t>lack of planning/management skills</t>
  </si>
  <si>
    <t>Team lead is not managing documentation or team planning as required</t>
  </si>
  <si>
    <t>Team Lead</t>
  </si>
  <si>
    <t>Team lead assesses current planning strategy and decides on how to improve management, planning, or communication skills</t>
  </si>
  <si>
    <t xml:space="preserve">Current management and planning has been working </t>
  </si>
  <si>
    <t>improper planning</t>
  </si>
  <si>
    <t>Team is not meeting or planning ahead enough to meet project goals</t>
  </si>
  <si>
    <t>All team members</t>
  </si>
  <si>
    <t>Team members plan to meet more frequently or adjust the agenda for meetings to make sure everything is planned thoroughly</t>
  </si>
  <si>
    <t>Currently the team is meeting project goals</t>
  </si>
  <si>
    <t>Technology competence</t>
  </si>
  <si>
    <t>Not familiar with the framework used</t>
  </si>
  <si>
    <t>One or more team members are unfamiliar with the framework being used to complete the project</t>
  </si>
  <si>
    <t>Involved team members</t>
  </si>
  <si>
    <t>Unfamiliar team member spends time researching frameworks and getting familiar with it enough to contribute with team, ask other team members for support where needed</t>
  </si>
  <si>
    <t>There are team members unfamiliar with the framework, they researched and learned necessary points</t>
  </si>
  <si>
    <t>Not familiar with the programming language used</t>
  </si>
  <si>
    <t>One or more team members are unfamiliar with the programming language being used</t>
  </si>
  <si>
    <t>Unfamiliar teammate spends time researching essential syntax for programming language to ensure that they can at least proofread and understand code, ask other team members for support where needed</t>
  </si>
  <si>
    <t>All team members are at least a little familiar with current programming languages</t>
  </si>
  <si>
    <t>Not familiar with unit testing</t>
  </si>
  <si>
    <t>One or more team members are unfamiliar with unit testing</t>
  </si>
  <si>
    <t>Unfamiliar teammate spends time researching and gets familiar with the unit testing method that other teammates are using, ask other teammates for support where needed</t>
  </si>
  <si>
    <t>All members have completed some unit testing</t>
  </si>
  <si>
    <t>Git commits/PRs/branches are not following team standard</t>
  </si>
  <si>
    <t>Team standards for branching strategy are not being followed by one or more team members</t>
  </si>
  <si>
    <t>Configuration lead and involved team members</t>
  </si>
  <si>
    <t>Configuration lead clarifies the branching strategy and our team's standard, helps involved team member meet these standards</t>
  </si>
  <si>
    <t>A few stray commits, team members fix it when it is brought to attention; Everyone on the same page for branch standards</t>
  </si>
  <si>
    <t>Not familiar with Git</t>
  </si>
  <si>
    <t>One or more team members are unfamiliar with how git/github works</t>
  </si>
  <si>
    <t>Involved team member, configuration lead for support</t>
  </si>
  <si>
    <t>Involved team members get familiar with git/github through research and the configuration lead can support them with any questions they may have</t>
  </si>
  <si>
    <t>Everyone is familiar with git/github</t>
  </si>
  <si>
    <t>Design and implementation</t>
  </si>
  <si>
    <t>Improper design</t>
  </si>
  <si>
    <t>Design for the system/code is incorrect or overly complex</t>
  </si>
  <si>
    <t>Team members meet to discuss possible alternatives to current design, research common design practices if needed</t>
  </si>
  <si>
    <t>Design makes sense and is understandable for team members</t>
  </si>
  <si>
    <t>improper technology stack</t>
  </si>
  <si>
    <t>The stack that the team chooses is not ideal for the implementation of our project</t>
  </si>
  <si>
    <t>team members meet to discuss current stack and possible alternatives to areas of concern</t>
  </si>
  <si>
    <t>Stack has been agreed upon by team members</t>
  </si>
  <si>
    <t>Messy code</t>
  </si>
  <si>
    <t>Code is overly complicated or unreadable to team</t>
  </si>
  <si>
    <t>Team member who wrote code, all team members review</t>
  </si>
  <si>
    <t>Team member who wrote code returns to refactor it, team members give suggestions and review code after refactoring</t>
  </si>
  <si>
    <t>Patient portal page was refactored by team member, rest of code has been fine</t>
  </si>
  <si>
    <t xml:space="preserve">Testing </t>
  </si>
  <si>
    <t>Not enough testing</t>
  </si>
  <si>
    <t>Testing is not happening as often or as thoroughly as needed</t>
  </si>
  <si>
    <t>QA lead, all team members</t>
  </si>
  <si>
    <t>QA lead assesses where more testing is needed, all team members comply to the testing standards given</t>
  </si>
  <si>
    <t>Testing has been thorough enough</t>
  </si>
  <si>
    <t>Integration and deployment</t>
  </si>
  <si>
    <t>Not enough time for integration and deployment</t>
  </si>
  <si>
    <t>There is not enough time left in the course for integration and deployment</t>
  </si>
  <si>
    <t>All team members, team lead</t>
  </si>
  <si>
    <t xml:space="preserve">All team members asses what needs to be done, team leader delegates necessary tasks to meet deadline </t>
  </si>
  <si>
    <t>We are currently on track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</si>
</sst>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
    <numFmt numFmtId="166" formatCode="mm/dd"/>
  </numFmts>
  <fonts count="5">
    <font>
      <sz val="10.0"/>
      <color rgb="FF000000"/>
      <name val="Arial"/>
    </font>
    <font>
      <color rgb="FFFF0000"/>
    </font>
    <font/>
    <font>
      <name val="Arial"/>
    </font>
    <font>
      <color rgb="FF000000"/>
      <name val="Arial"/>
    </font>
  </fonts>
  <fills count="3">
    <fill>
      <patternFill patternType="none"/>
    </fill>
    <fill>
      <patternFill patternType="lightGray"/>
    </fill>
    <fill>
      <patternFill patternType="solid">
        <fgColor rgb="FFFFFFFF"/>
        <bgColor rgb="FFFFFFFF"/>
      </patternFill>
    </fill>
  </fills>
  <borders count="2">
    <border/>
    <border>
      <right/>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vertical="bottom" wrapText="1"/>
    </xf>
    <xf borderId="0" fillId="0" fontId="3" numFmtId="3" xfId="0" applyAlignment="1" applyFont="1" applyNumberFormat="1">
      <alignment horizontal="right" readingOrder="0" shrinkToFit="0" vertical="bottom" wrapText="1"/>
    </xf>
    <xf borderId="0" fillId="0" fontId="3" numFmtId="0" xfId="0" applyAlignment="1" applyFont="1">
      <alignment horizontal="right" readingOrder="0" shrinkToFit="0" vertical="bottom" wrapText="1"/>
    </xf>
    <xf borderId="0" fillId="0" fontId="3" numFmtId="164" xfId="0" applyAlignment="1" applyFont="1" applyNumberFormat="1">
      <alignment horizontal="right" readingOrder="0" shrinkToFit="0" vertical="bottom" wrapText="1"/>
    </xf>
    <xf borderId="0" fillId="0" fontId="3" numFmtId="0" xfId="0" applyAlignment="1" applyFont="1">
      <alignment shrinkToFit="0" vertical="bottom" wrapText="1"/>
    </xf>
    <xf borderId="0" fillId="0" fontId="3" numFmtId="165" xfId="0" applyAlignment="1" applyFont="1" applyNumberFormat="1">
      <alignment horizontal="right" readingOrder="0" shrinkToFit="0" vertical="bottom" wrapText="1"/>
    </xf>
    <xf borderId="0" fillId="0" fontId="3" numFmtId="166" xfId="0" applyAlignment="1" applyFont="1" applyNumberFormat="1">
      <alignment horizontal="right" readingOrder="0" shrinkToFit="0" vertical="bottom" wrapText="1"/>
    </xf>
    <xf borderId="0" fillId="2" fontId="4" numFmtId="0" xfId="0" applyAlignment="1" applyFont="1">
      <alignment horizontal="left" readingOrder="0" shrinkToFit="0" wrapText="1"/>
    </xf>
    <xf borderId="0" fillId="0" fontId="3" numFmtId="0" xfId="0" applyAlignment="1" applyFont="1">
      <alignment horizontal="right" shrinkToFit="0" vertical="bottom" wrapText="1"/>
    </xf>
    <xf borderId="0" fillId="0" fontId="3" numFmtId="0" xfId="0" applyAlignment="1" applyFont="1">
      <alignment horizontal="right" shrinkToFit="0" vertical="bottom" wrapText="1"/>
    </xf>
    <xf borderId="0" fillId="0" fontId="3" numFmtId="165" xfId="0" applyAlignment="1" applyFont="1" applyNumberFormat="1">
      <alignment horizontal="right" shrinkToFit="0" vertical="bottom" wrapText="1"/>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1" fillId="0" fontId="3" numFmtId="0" xfId="0" applyAlignment="1" applyBorder="1" applyFont="1">
      <alignment shrinkToFit="0" vertical="bottom" wrapText="0"/>
    </xf>
    <xf borderId="1" fillId="0" fontId="3" numFmtId="0" xfId="0" applyAlignment="1" applyBorder="1" applyFont="1">
      <alignment vertical="bottom"/>
    </xf>
  </cellXfs>
  <cellStyles count="1">
    <cellStyle xfId="0" name="Normal" builtinId="0"/>
  </cellStyles>
  <dxfs count="2">
    <dxf>
      <font/>
      <fill>
        <patternFill patternType="solid">
          <fgColor rgb="FFD9D9D9"/>
          <bgColor rgb="FFD9D9D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9.63"/>
    <col customWidth="1" min="2" max="2" width="22.25"/>
    <col customWidth="1" min="3" max="3" width="25.75"/>
    <col customWidth="1" min="4" max="4" width="8.88"/>
    <col customWidth="1" min="5" max="5" width="10.13"/>
    <col customWidth="1" min="6" max="7" width="10.88"/>
    <col customWidth="1" min="8" max="8" width="16.88"/>
    <col customWidth="1" min="9" max="9" width="11.75"/>
    <col customWidth="1" min="10" max="10" width="25.25"/>
    <col customWidth="1" min="11" max="11" width="24.5"/>
    <col customWidth="1" min="12" max="12" width="8.25"/>
  </cols>
  <sheetData>
    <row r="1" ht="37.5" customHeight="1">
      <c r="A1" s="1" t="s">
        <v>0</v>
      </c>
      <c r="B1" s="2"/>
      <c r="C1" s="2"/>
      <c r="D1" s="2"/>
      <c r="E1" s="2"/>
      <c r="F1" s="2"/>
      <c r="G1" s="2"/>
      <c r="H1" s="2"/>
      <c r="I1" s="2"/>
      <c r="J1" s="2"/>
      <c r="K1" s="2"/>
    </row>
    <row r="2">
      <c r="A2" s="2" t="s">
        <v>1</v>
      </c>
      <c r="B2" s="2" t="s">
        <v>2</v>
      </c>
      <c r="C2" s="2" t="s">
        <v>3</v>
      </c>
      <c r="D2" s="2" t="s">
        <v>4</v>
      </c>
      <c r="E2" s="2" t="s">
        <v>5</v>
      </c>
      <c r="F2" s="2" t="s">
        <v>6</v>
      </c>
      <c r="G2" s="2" t="s">
        <v>7</v>
      </c>
      <c r="H2" s="2" t="s">
        <v>8</v>
      </c>
      <c r="I2" s="2" t="s">
        <v>9</v>
      </c>
      <c r="J2" s="2" t="s">
        <v>10</v>
      </c>
      <c r="K2" s="2" t="s">
        <v>11</v>
      </c>
      <c r="L2" s="2" t="s">
        <v>12</v>
      </c>
      <c r="M2" s="3"/>
      <c r="N2" s="3"/>
      <c r="O2" s="3"/>
      <c r="P2" s="3"/>
      <c r="Q2" s="3"/>
      <c r="R2" s="3"/>
      <c r="S2" s="3"/>
      <c r="T2" s="3"/>
      <c r="U2" s="3"/>
      <c r="V2" s="3"/>
      <c r="W2" s="3"/>
      <c r="X2" s="3"/>
      <c r="Y2" s="3"/>
      <c r="Z2" s="3"/>
      <c r="AA2" s="3"/>
    </row>
    <row r="3">
      <c r="A3" s="4" t="s">
        <v>13</v>
      </c>
      <c r="B3" s="2" t="s">
        <v>14</v>
      </c>
      <c r="C3" s="4" t="s">
        <v>15</v>
      </c>
      <c r="D3" s="5">
        <v>1.0</v>
      </c>
      <c r="E3" s="5">
        <v>5.0</v>
      </c>
      <c r="F3" s="5">
        <v>5.0</v>
      </c>
      <c r="G3" s="6">
        <f t="shared" ref="G3:G25" si="1">((6-D3)*(6-E3)*F3)</f>
        <v>25</v>
      </c>
      <c r="H3" s="4" t="s">
        <v>16</v>
      </c>
      <c r="I3" s="7">
        <v>46160.0</v>
      </c>
      <c r="J3" s="4" t="s">
        <v>17</v>
      </c>
      <c r="K3" s="4" t="s">
        <v>18</v>
      </c>
      <c r="L3" s="4" t="s">
        <v>19</v>
      </c>
      <c r="M3" s="8"/>
      <c r="N3" s="8"/>
      <c r="O3" s="8"/>
      <c r="P3" s="8"/>
      <c r="Q3" s="8"/>
      <c r="R3" s="8"/>
      <c r="S3" s="8"/>
      <c r="T3" s="8"/>
      <c r="U3" s="8"/>
      <c r="V3" s="8"/>
      <c r="W3" s="8"/>
      <c r="X3" s="8"/>
      <c r="Y3" s="8"/>
      <c r="Z3" s="8"/>
      <c r="AA3" s="8"/>
    </row>
    <row r="4">
      <c r="A4" s="8"/>
      <c r="B4" s="2" t="s">
        <v>20</v>
      </c>
      <c r="C4" s="4" t="s">
        <v>21</v>
      </c>
      <c r="D4" s="5">
        <v>1.0</v>
      </c>
      <c r="E4" s="5">
        <v>3.0</v>
      </c>
      <c r="F4" s="5">
        <v>2.0</v>
      </c>
      <c r="G4" s="6">
        <f t="shared" si="1"/>
        <v>30</v>
      </c>
      <c r="H4" s="4" t="s">
        <v>16</v>
      </c>
      <c r="I4" s="9">
        <v>46160.0</v>
      </c>
      <c r="J4" s="4" t="s">
        <v>22</v>
      </c>
      <c r="K4" s="4" t="s">
        <v>23</v>
      </c>
      <c r="L4" s="4" t="s">
        <v>19</v>
      </c>
      <c r="M4" s="8"/>
      <c r="N4" s="8"/>
      <c r="O4" s="8"/>
      <c r="P4" s="8"/>
      <c r="Q4" s="8"/>
      <c r="R4" s="8"/>
      <c r="S4" s="8"/>
      <c r="T4" s="8"/>
      <c r="U4" s="8"/>
      <c r="V4" s="8"/>
      <c r="W4" s="8"/>
      <c r="X4" s="8"/>
      <c r="Y4" s="8"/>
      <c r="Z4" s="8"/>
      <c r="AA4" s="8"/>
    </row>
    <row r="5">
      <c r="A5" s="8"/>
      <c r="B5" s="2" t="s">
        <v>24</v>
      </c>
      <c r="C5" s="4" t="s">
        <v>25</v>
      </c>
      <c r="D5" s="5">
        <v>2.0</v>
      </c>
      <c r="E5" s="5">
        <v>4.0</v>
      </c>
      <c r="F5" s="5">
        <v>3.0</v>
      </c>
      <c r="G5" s="6">
        <f t="shared" si="1"/>
        <v>24</v>
      </c>
      <c r="H5" s="2" t="s">
        <v>16</v>
      </c>
      <c r="I5" s="10">
        <v>46188.0</v>
      </c>
      <c r="J5" s="4" t="s">
        <v>26</v>
      </c>
      <c r="K5" s="4" t="s">
        <v>27</v>
      </c>
      <c r="L5" s="4" t="s">
        <v>28</v>
      </c>
      <c r="M5" s="8"/>
      <c r="N5" s="8"/>
      <c r="O5" s="8"/>
      <c r="P5" s="8"/>
      <c r="Q5" s="8"/>
      <c r="R5" s="8"/>
      <c r="S5" s="8"/>
      <c r="T5" s="8"/>
      <c r="U5" s="8"/>
      <c r="V5" s="8"/>
      <c r="W5" s="8"/>
      <c r="X5" s="8"/>
      <c r="Y5" s="8"/>
      <c r="Z5" s="8"/>
      <c r="AA5" s="8"/>
    </row>
    <row r="6">
      <c r="A6" s="4" t="s">
        <v>29</v>
      </c>
      <c r="B6" s="2" t="s">
        <v>30</v>
      </c>
      <c r="C6" s="4" t="s">
        <v>31</v>
      </c>
      <c r="D6" s="5">
        <v>3.0</v>
      </c>
      <c r="E6" s="5">
        <v>2.0</v>
      </c>
      <c r="F6" s="5">
        <v>2.0</v>
      </c>
      <c r="G6" s="6">
        <f t="shared" si="1"/>
        <v>24</v>
      </c>
      <c r="H6" s="4" t="s">
        <v>32</v>
      </c>
      <c r="I6" s="9">
        <v>46188.0</v>
      </c>
      <c r="J6" s="4" t="s">
        <v>33</v>
      </c>
      <c r="K6" s="4" t="s">
        <v>34</v>
      </c>
      <c r="L6" s="4" t="s">
        <v>28</v>
      </c>
      <c r="M6" s="8"/>
      <c r="N6" s="8"/>
      <c r="O6" s="8"/>
      <c r="P6" s="8"/>
      <c r="Q6" s="8"/>
      <c r="R6" s="8"/>
      <c r="S6" s="8"/>
      <c r="T6" s="8"/>
      <c r="U6" s="8"/>
      <c r="V6" s="8"/>
      <c r="W6" s="8"/>
      <c r="X6" s="8"/>
      <c r="Y6" s="8"/>
      <c r="Z6" s="8"/>
      <c r="AA6" s="8"/>
    </row>
    <row r="7">
      <c r="A7" s="3"/>
      <c r="B7" s="2" t="s">
        <v>35</v>
      </c>
      <c r="C7" s="4" t="s">
        <v>36</v>
      </c>
      <c r="D7" s="5">
        <v>1.0</v>
      </c>
      <c r="E7" s="5">
        <v>2.0</v>
      </c>
      <c r="F7" s="5">
        <v>1.0</v>
      </c>
      <c r="G7" s="6">
        <f t="shared" si="1"/>
        <v>20</v>
      </c>
      <c r="H7" s="4" t="s">
        <v>37</v>
      </c>
      <c r="I7" s="9">
        <v>46188.0</v>
      </c>
      <c r="J7" s="4" t="s">
        <v>38</v>
      </c>
      <c r="K7" s="4" t="s">
        <v>39</v>
      </c>
      <c r="L7" s="4" t="s">
        <v>28</v>
      </c>
      <c r="M7" s="8"/>
      <c r="N7" s="8"/>
      <c r="O7" s="8"/>
      <c r="P7" s="8"/>
      <c r="Q7" s="8"/>
      <c r="R7" s="8"/>
      <c r="S7" s="8"/>
      <c r="T7" s="8"/>
      <c r="U7" s="8"/>
      <c r="V7" s="8"/>
      <c r="W7" s="8"/>
      <c r="X7" s="8"/>
      <c r="Y7" s="8"/>
      <c r="Z7" s="8"/>
      <c r="AA7" s="8"/>
    </row>
    <row r="8">
      <c r="A8" s="4"/>
      <c r="B8" s="2" t="s">
        <v>40</v>
      </c>
      <c r="C8" s="4" t="s">
        <v>41</v>
      </c>
      <c r="D8" s="5">
        <v>2.0</v>
      </c>
      <c r="E8" s="5">
        <v>2.0</v>
      </c>
      <c r="F8" s="5">
        <v>3.0</v>
      </c>
      <c r="G8" s="6">
        <f t="shared" si="1"/>
        <v>48</v>
      </c>
      <c r="H8" s="4" t="s">
        <v>42</v>
      </c>
      <c r="I8" s="9">
        <v>46188.0</v>
      </c>
      <c r="J8" s="4" t="s">
        <v>43</v>
      </c>
      <c r="K8" s="4" t="s">
        <v>44</v>
      </c>
      <c r="L8" s="4" t="s">
        <v>28</v>
      </c>
      <c r="M8" s="8"/>
      <c r="N8" s="8"/>
      <c r="O8" s="8"/>
      <c r="P8" s="8"/>
      <c r="Q8" s="8"/>
      <c r="R8" s="8"/>
      <c r="S8" s="8"/>
      <c r="T8" s="8"/>
      <c r="U8" s="8"/>
      <c r="V8" s="8"/>
      <c r="W8" s="8"/>
      <c r="X8" s="8"/>
      <c r="Y8" s="8"/>
      <c r="Z8" s="8"/>
      <c r="AA8" s="8"/>
    </row>
    <row r="9">
      <c r="A9" s="4"/>
      <c r="B9" s="2" t="s">
        <v>45</v>
      </c>
      <c r="C9" s="4" t="s">
        <v>46</v>
      </c>
      <c r="D9" s="5">
        <v>2.0</v>
      </c>
      <c r="E9" s="5">
        <v>2.0</v>
      </c>
      <c r="F9" s="5">
        <v>1.0</v>
      </c>
      <c r="G9" s="6">
        <f t="shared" si="1"/>
        <v>16</v>
      </c>
      <c r="H9" s="4" t="s">
        <v>47</v>
      </c>
      <c r="I9" s="9">
        <v>46188.0</v>
      </c>
      <c r="J9" s="4" t="s">
        <v>48</v>
      </c>
      <c r="K9" s="4" t="s">
        <v>49</v>
      </c>
      <c r="L9" s="4" t="s">
        <v>28</v>
      </c>
      <c r="M9" s="8"/>
      <c r="N9" s="8"/>
      <c r="O9" s="8"/>
      <c r="P9" s="8"/>
      <c r="Q9" s="8"/>
      <c r="R9" s="8"/>
      <c r="S9" s="8"/>
      <c r="T9" s="8"/>
      <c r="U9" s="8"/>
      <c r="V9" s="8"/>
      <c r="W9" s="8"/>
      <c r="X9" s="8"/>
      <c r="Y9" s="8"/>
      <c r="Z9" s="8"/>
      <c r="AA9" s="8"/>
    </row>
    <row r="10">
      <c r="A10" s="4" t="s">
        <v>50</v>
      </c>
      <c r="B10" s="2" t="s">
        <v>51</v>
      </c>
      <c r="C10" s="4" t="s">
        <v>52</v>
      </c>
      <c r="D10" s="5">
        <v>3.0</v>
      </c>
      <c r="E10" s="5">
        <v>4.0</v>
      </c>
      <c r="F10" s="5">
        <v>2.0</v>
      </c>
      <c r="G10" s="6">
        <f t="shared" si="1"/>
        <v>12</v>
      </c>
      <c r="H10" s="4" t="s">
        <v>53</v>
      </c>
      <c r="I10" s="9">
        <v>46162.0</v>
      </c>
      <c r="J10" s="4" t="s">
        <v>54</v>
      </c>
      <c r="K10" s="4" t="s">
        <v>55</v>
      </c>
      <c r="L10" s="4" t="s">
        <v>19</v>
      </c>
      <c r="M10" s="8"/>
      <c r="N10" s="8"/>
      <c r="O10" s="8"/>
      <c r="P10" s="8"/>
      <c r="Q10" s="8"/>
      <c r="R10" s="8"/>
      <c r="S10" s="8"/>
      <c r="T10" s="8"/>
      <c r="U10" s="8"/>
      <c r="V10" s="8"/>
      <c r="W10" s="8"/>
      <c r="X10" s="8"/>
      <c r="Y10" s="8"/>
      <c r="Z10" s="8"/>
      <c r="AA10" s="8"/>
    </row>
    <row r="11">
      <c r="A11" s="8"/>
      <c r="B11" s="2" t="s">
        <v>56</v>
      </c>
      <c r="C11" s="4" t="s">
        <v>57</v>
      </c>
      <c r="D11" s="5">
        <v>3.0</v>
      </c>
      <c r="E11" s="5">
        <v>4.0</v>
      </c>
      <c r="F11" s="5">
        <v>2.0</v>
      </c>
      <c r="G11" s="6">
        <f t="shared" si="1"/>
        <v>12</v>
      </c>
      <c r="H11" s="4" t="s">
        <v>53</v>
      </c>
      <c r="I11" s="9">
        <v>46183.0</v>
      </c>
      <c r="J11" s="4" t="s">
        <v>58</v>
      </c>
      <c r="K11" s="4" t="s">
        <v>59</v>
      </c>
      <c r="L11" s="4" t="s">
        <v>19</v>
      </c>
      <c r="M11" s="8"/>
      <c r="N11" s="8"/>
      <c r="O11" s="8"/>
      <c r="P11" s="8"/>
      <c r="Q11" s="8"/>
      <c r="R11" s="8"/>
      <c r="S11" s="8"/>
      <c r="T11" s="8"/>
      <c r="U11" s="8"/>
      <c r="V11" s="8"/>
      <c r="W11" s="8"/>
      <c r="X11" s="8"/>
      <c r="Y11" s="8"/>
      <c r="Z11" s="8"/>
      <c r="AA11" s="8"/>
    </row>
    <row r="12">
      <c r="A12" s="8"/>
      <c r="B12" s="2" t="s">
        <v>60</v>
      </c>
      <c r="C12" s="4" t="s">
        <v>61</v>
      </c>
      <c r="D12" s="5">
        <v>2.0</v>
      </c>
      <c r="E12" s="5">
        <v>4.0</v>
      </c>
      <c r="F12" s="5">
        <v>2.0</v>
      </c>
      <c r="G12" s="6">
        <f t="shared" si="1"/>
        <v>16</v>
      </c>
      <c r="H12" s="4" t="s">
        <v>53</v>
      </c>
      <c r="I12" s="9">
        <v>46175.0</v>
      </c>
      <c r="J12" s="4" t="s">
        <v>62</v>
      </c>
      <c r="K12" s="4" t="s">
        <v>63</v>
      </c>
      <c r="L12" s="4" t="s">
        <v>19</v>
      </c>
      <c r="M12" s="8"/>
      <c r="N12" s="8"/>
      <c r="O12" s="8"/>
      <c r="P12" s="8"/>
      <c r="Q12" s="8"/>
      <c r="R12" s="8"/>
      <c r="S12" s="8"/>
      <c r="T12" s="8"/>
      <c r="U12" s="8"/>
      <c r="V12" s="8"/>
      <c r="W12" s="8"/>
      <c r="X12" s="8"/>
      <c r="Y12" s="8"/>
      <c r="Z12" s="8"/>
      <c r="AA12" s="8"/>
    </row>
    <row r="13">
      <c r="A13" s="4" t="s">
        <v>64</v>
      </c>
      <c r="B13" s="2" t="s">
        <v>65</v>
      </c>
      <c r="C13" s="4" t="s">
        <v>66</v>
      </c>
      <c r="D13" s="5">
        <v>2.0</v>
      </c>
      <c r="E13" s="5">
        <v>3.0</v>
      </c>
      <c r="F13" s="5">
        <v>2.0</v>
      </c>
      <c r="G13" s="6">
        <f t="shared" si="1"/>
        <v>24</v>
      </c>
      <c r="H13" s="4" t="s">
        <v>67</v>
      </c>
      <c r="I13" s="9">
        <v>46183.0</v>
      </c>
      <c r="J13" s="4" t="s">
        <v>68</v>
      </c>
      <c r="K13" s="4" t="s">
        <v>69</v>
      </c>
      <c r="L13" s="4" t="s">
        <v>28</v>
      </c>
      <c r="M13" s="8"/>
      <c r="N13" s="8"/>
      <c r="O13" s="8"/>
      <c r="P13" s="8"/>
      <c r="Q13" s="8"/>
      <c r="R13" s="8"/>
      <c r="S13" s="8"/>
      <c r="T13" s="8"/>
      <c r="U13" s="8"/>
      <c r="V13" s="8"/>
      <c r="W13" s="8"/>
      <c r="X13" s="8"/>
      <c r="Y13" s="8"/>
      <c r="Z13" s="8"/>
      <c r="AA13" s="8"/>
    </row>
    <row r="14">
      <c r="A14" s="8"/>
      <c r="B14" s="2" t="s">
        <v>70</v>
      </c>
      <c r="C14" s="4" t="s">
        <v>71</v>
      </c>
      <c r="D14" s="5">
        <v>2.0</v>
      </c>
      <c r="E14" s="5">
        <v>4.0</v>
      </c>
      <c r="F14" s="5">
        <v>2.0</v>
      </c>
      <c r="G14" s="6">
        <f t="shared" si="1"/>
        <v>16</v>
      </c>
      <c r="H14" s="4" t="s">
        <v>72</v>
      </c>
      <c r="I14" s="9">
        <v>46183.0</v>
      </c>
      <c r="J14" s="4" t="s">
        <v>73</v>
      </c>
      <c r="K14" s="4" t="s">
        <v>74</v>
      </c>
      <c r="L14" s="4" t="s">
        <v>28</v>
      </c>
      <c r="M14" s="8"/>
      <c r="N14" s="8"/>
      <c r="O14" s="8"/>
      <c r="P14" s="8"/>
      <c r="Q14" s="8"/>
      <c r="R14" s="8"/>
      <c r="S14" s="8"/>
      <c r="T14" s="8"/>
      <c r="U14" s="8"/>
      <c r="V14" s="8"/>
      <c r="W14" s="8"/>
      <c r="X14" s="8"/>
      <c r="Y14" s="8"/>
      <c r="Z14" s="8"/>
      <c r="AA14" s="8"/>
    </row>
    <row r="15">
      <c r="A15" s="8"/>
      <c r="B15" s="2" t="s">
        <v>75</v>
      </c>
      <c r="C15" s="4" t="s">
        <v>76</v>
      </c>
      <c r="D15" s="5">
        <v>1.0</v>
      </c>
      <c r="E15" s="5">
        <v>5.0</v>
      </c>
      <c r="F15" s="5">
        <v>1.0</v>
      </c>
      <c r="G15" s="6">
        <f t="shared" si="1"/>
        <v>5</v>
      </c>
      <c r="H15" s="4" t="s">
        <v>77</v>
      </c>
      <c r="I15" s="9">
        <v>46183.0</v>
      </c>
      <c r="J15" s="4" t="s">
        <v>78</v>
      </c>
      <c r="K15" s="4" t="s">
        <v>79</v>
      </c>
      <c r="L15" s="4" t="s">
        <v>28</v>
      </c>
      <c r="M15" s="8"/>
      <c r="N15" s="8"/>
      <c r="O15" s="8"/>
      <c r="P15" s="8"/>
      <c r="Q15" s="8"/>
      <c r="R15" s="8"/>
      <c r="S15" s="8"/>
      <c r="T15" s="8"/>
      <c r="U15" s="8"/>
      <c r="V15" s="8"/>
      <c r="W15" s="8"/>
      <c r="X15" s="8"/>
      <c r="Y15" s="8"/>
      <c r="Z15" s="8"/>
      <c r="AA15" s="8"/>
    </row>
    <row r="16">
      <c r="A16" s="4" t="s">
        <v>80</v>
      </c>
      <c r="B16" s="2" t="s">
        <v>81</v>
      </c>
      <c r="C16" s="4" t="s">
        <v>82</v>
      </c>
      <c r="D16" s="5">
        <v>3.0</v>
      </c>
      <c r="E16" s="5">
        <v>4.0</v>
      </c>
      <c r="F16" s="5">
        <v>2.0</v>
      </c>
      <c r="G16" s="6">
        <f t="shared" si="1"/>
        <v>12</v>
      </c>
      <c r="H16" s="4" t="s">
        <v>83</v>
      </c>
      <c r="I16" s="9">
        <v>46168.0</v>
      </c>
      <c r="J16" s="4" t="s">
        <v>84</v>
      </c>
      <c r="K16" s="4" t="s">
        <v>85</v>
      </c>
      <c r="L16" s="4" t="s">
        <v>19</v>
      </c>
      <c r="M16" s="8"/>
      <c r="N16" s="8"/>
      <c r="O16" s="8"/>
      <c r="P16" s="8"/>
      <c r="Q16" s="8"/>
      <c r="R16" s="8"/>
      <c r="S16" s="8"/>
      <c r="T16" s="8"/>
      <c r="U16" s="8"/>
      <c r="V16" s="8"/>
      <c r="W16" s="8"/>
      <c r="X16" s="8"/>
      <c r="Y16" s="8"/>
      <c r="Z16" s="8"/>
      <c r="AA16" s="8"/>
    </row>
    <row r="17">
      <c r="A17" s="8"/>
      <c r="B17" s="2" t="s">
        <v>86</v>
      </c>
      <c r="C17" s="4" t="s">
        <v>87</v>
      </c>
      <c r="D17" s="5">
        <v>2.0</v>
      </c>
      <c r="E17" s="5">
        <v>4.0</v>
      </c>
      <c r="F17" s="5">
        <v>3.0</v>
      </c>
      <c r="G17" s="6">
        <f t="shared" si="1"/>
        <v>24</v>
      </c>
      <c r="H17" s="4" t="s">
        <v>83</v>
      </c>
      <c r="I17" s="9">
        <v>46162.0</v>
      </c>
      <c r="J17" s="4" t="s">
        <v>88</v>
      </c>
      <c r="K17" s="4" t="s">
        <v>89</v>
      </c>
      <c r="L17" s="4" t="s">
        <v>19</v>
      </c>
      <c r="M17" s="8"/>
      <c r="N17" s="8"/>
      <c r="O17" s="8"/>
      <c r="P17" s="8"/>
      <c r="Q17" s="8"/>
      <c r="R17" s="8"/>
      <c r="S17" s="8"/>
      <c r="T17" s="8"/>
      <c r="U17" s="8"/>
      <c r="V17" s="8"/>
      <c r="W17" s="8"/>
      <c r="X17" s="8"/>
      <c r="Y17" s="8"/>
      <c r="Z17" s="8"/>
      <c r="AA17" s="8"/>
    </row>
    <row r="18">
      <c r="A18" s="8"/>
      <c r="B18" s="2" t="s">
        <v>90</v>
      </c>
      <c r="C18" s="4" t="s">
        <v>91</v>
      </c>
      <c r="D18" s="5">
        <v>2.0</v>
      </c>
      <c r="E18" s="5">
        <v>4.0</v>
      </c>
      <c r="F18" s="5">
        <v>2.0</v>
      </c>
      <c r="G18" s="6">
        <f t="shared" si="1"/>
        <v>16</v>
      </c>
      <c r="H18" s="4" t="s">
        <v>83</v>
      </c>
      <c r="I18" s="9">
        <v>46168.0</v>
      </c>
      <c r="J18" s="4" t="s">
        <v>92</v>
      </c>
      <c r="K18" s="4" t="s">
        <v>93</v>
      </c>
      <c r="L18" s="4" t="s">
        <v>19</v>
      </c>
      <c r="M18" s="8"/>
      <c r="N18" s="8"/>
      <c r="O18" s="8"/>
      <c r="P18" s="8"/>
      <c r="Q18" s="8"/>
      <c r="R18" s="8"/>
      <c r="S18" s="8"/>
      <c r="T18" s="8"/>
      <c r="U18" s="8"/>
      <c r="V18" s="8"/>
      <c r="W18" s="8"/>
      <c r="X18" s="8"/>
      <c r="Y18" s="8"/>
      <c r="Z18" s="8"/>
      <c r="AA18" s="8"/>
    </row>
    <row r="19">
      <c r="A19" s="8"/>
      <c r="B19" s="2" t="s">
        <v>94</v>
      </c>
      <c r="C19" s="4" t="s">
        <v>95</v>
      </c>
      <c r="D19" s="5">
        <v>2.0</v>
      </c>
      <c r="E19" s="5">
        <v>3.0</v>
      </c>
      <c r="F19" s="5">
        <v>2.0</v>
      </c>
      <c r="G19" s="6">
        <f t="shared" si="1"/>
        <v>24</v>
      </c>
      <c r="H19" s="4" t="s">
        <v>96</v>
      </c>
      <c r="I19" s="9">
        <v>46166.0</v>
      </c>
      <c r="J19" s="4" t="s">
        <v>97</v>
      </c>
      <c r="K19" s="4" t="s">
        <v>98</v>
      </c>
      <c r="L19" s="4" t="s">
        <v>19</v>
      </c>
      <c r="M19" s="8"/>
      <c r="N19" s="8"/>
      <c r="O19" s="8"/>
      <c r="P19" s="8"/>
      <c r="Q19" s="8"/>
      <c r="R19" s="8"/>
      <c r="S19" s="8"/>
      <c r="T19" s="8"/>
      <c r="U19" s="8"/>
      <c r="V19" s="8"/>
      <c r="W19" s="8"/>
      <c r="X19" s="8"/>
      <c r="Y19" s="8"/>
      <c r="Z19" s="8"/>
      <c r="AA19" s="8"/>
    </row>
    <row r="20">
      <c r="A20" s="8"/>
      <c r="B20" s="2" t="s">
        <v>99</v>
      </c>
      <c r="C20" s="4" t="s">
        <v>100</v>
      </c>
      <c r="D20" s="5">
        <v>1.0</v>
      </c>
      <c r="E20" s="5">
        <v>1.0</v>
      </c>
      <c r="F20" s="5">
        <v>1.0</v>
      </c>
      <c r="G20" s="6">
        <f t="shared" si="1"/>
        <v>25</v>
      </c>
      <c r="H20" s="4" t="s">
        <v>101</v>
      </c>
      <c r="I20" s="9">
        <v>46158.0</v>
      </c>
      <c r="J20" s="4" t="s">
        <v>102</v>
      </c>
      <c r="K20" s="4" t="s">
        <v>103</v>
      </c>
      <c r="L20" s="4" t="s">
        <v>19</v>
      </c>
      <c r="M20" s="8"/>
      <c r="N20" s="8"/>
      <c r="O20" s="8"/>
      <c r="P20" s="8"/>
      <c r="Q20" s="8"/>
      <c r="R20" s="8"/>
      <c r="S20" s="8"/>
      <c r="T20" s="8"/>
      <c r="U20" s="8"/>
      <c r="V20" s="8"/>
      <c r="W20" s="8"/>
      <c r="X20" s="8"/>
      <c r="Y20" s="8"/>
      <c r="Z20" s="8"/>
      <c r="AA20" s="8"/>
    </row>
    <row r="21">
      <c r="A21" s="4" t="s">
        <v>104</v>
      </c>
      <c r="B21" s="2" t="s">
        <v>105</v>
      </c>
      <c r="C21" s="4" t="s">
        <v>106</v>
      </c>
      <c r="D21" s="5">
        <v>3.0</v>
      </c>
      <c r="E21" s="5">
        <v>4.0</v>
      </c>
      <c r="F21" s="5">
        <v>3.0</v>
      </c>
      <c r="G21" s="6">
        <f t="shared" si="1"/>
        <v>18</v>
      </c>
      <c r="H21" s="4" t="s">
        <v>77</v>
      </c>
      <c r="I21" s="9">
        <v>46175.0</v>
      </c>
      <c r="J21" s="4" t="s">
        <v>107</v>
      </c>
      <c r="K21" s="4" t="s">
        <v>108</v>
      </c>
      <c r="L21" s="4" t="s">
        <v>19</v>
      </c>
      <c r="M21" s="8"/>
      <c r="N21" s="8"/>
      <c r="O21" s="8"/>
      <c r="P21" s="8"/>
      <c r="Q21" s="8"/>
      <c r="R21" s="8"/>
      <c r="S21" s="8"/>
      <c r="T21" s="8"/>
      <c r="U21" s="8"/>
      <c r="V21" s="8"/>
      <c r="W21" s="8"/>
      <c r="X21" s="8"/>
      <c r="Y21" s="8"/>
      <c r="Z21" s="8"/>
      <c r="AA21" s="8"/>
    </row>
    <row r="22">
      <c r="A22" s="4"/>
      <c r="B22" s="2" t="s">
        <v>109</v>
      </c>
      <c r="C22" s="4" t="s">
        <v>110</v>
      </c>
      <c r="D22" s="5">
        <v>2.0</v>
      </c>
      <c r="E22" s="5">
        <v>4.0</v>
      </c>
      <c r="F22" s="5">
        <v>3.0</v>
      </c>
      <c r="G22" s="6">
        <f t="shared" si="1"/>
        <v>24</v>
      </c>
      <c r="H22" s="4" t="s">
        <v>77</v>
      </c>
      <c r="I22" s="9">
        <v>46166.0</v>
      </c>
      <c r="J22" s="4" t="s">
        <v>111</v>
      </c>
      <c r="K22" s="4" t="s">
        <v>112</v>
      </c>
      <c r="L22" s="4" t="s">
        <v>19</v>
      </c>
      <c r="M22" s="8"/>
      <c r="N22" s="8"/>
      <c r="O22" s="8"/>
      <c r="P22" s="8"/>
      <c r="Q22" s="8"/>
      <c r="R22" s="8"/>
      <c r="S22" s="8"/>
      <c r="T22" s="8"/>
      <c r="U22" s="8"/>
      <c r="V22" s="8"/>
      <c r="W22" s="8"/>
      <c r="X22" s="8"/>
      <c r="Y22" s="8"/>
      <c r="Z22" s="8"/>
      <c r="AA22" s="8"/>
    </row>
    <row r="23">
      <c r="A23" s="4"/>
      <c r="B23" s="2" t="s">
        <v>113</v>
      </c>
      <c r="C23" s="4" t="s">
        <v>114</v>
      </c>
      <c r="D23" s="5">
        <v>3.0</v>
      </c>
      <c r="E23" s="5">
        <v>4.0</v>
      </c>
      <c r="F23" s="5">
        <v>3.0</v>
      </c>
      <c r="G23" s="6">
        <f t="shared" si="1"/>
        <v>18</v>
      </c>
      <c r="H23" s="4" t="s">
        <v>115</v>
      </c>
      <c r="I23" s="9">
        <v>46188.0</v>
      </c>
      <c r="J23" s="4" t="s">
        <v>116</v>
      </c>
      <c r="K23" s="4" t="s">
        <v>117</v>
      </c>
      <c r="L23" s="4" t="s">
        <v>28</v>
      </c>
      <c r="M23" s="8"/>
      <c r="N23" s="8"/>
      <c r="O23" s="8"/>
      <c r="P23" s="8"/>
      <c r="Q23" s="8"/>
      <c r="R23" s="8"/>
      <c r="S23" s="8"/>
      <c r="T23" s="8"/>
      <c r="U23" s="8"/>
      <c r="V23" s="8"/>
      <c r="W23" s="8"/>
      <c r="X23" s="8"/>
      <c r="Y23" s="8"/>
      <c r="Z23" s="8"/>
      <c r="AA23" s="8"/>
    </row>
    <row r="24">
      <c r="A24" s="4" t="s">
        <v>118</v>
      </c>
      <c r="B24" s="2" t="s">
        <v>119</v>
      </c>
      <c r="C24" s="4" t="s">
        <v>120</v>
      </c>
      <c r="D24" s="5">
        <v>2.0</v>
      </c>
      <c r="E24" s="5">
        <v>4.0</v>
      </c>
      <c r="F24" s="5">
        <v>2.0</v>
      </c>
      <c r="G24" s="6">
        <f t="shared" si="1"/>
        <v>16</v>
      </c>
      <c r="H24" s="4" t="s">
        <v>121</v>
      </c>
      <c r="I24" s="9">
        <v>46188.0</v>
      </c>
      <c r="J24" s="4" t="s">
        <v>122</v>
      </c>
      <c r="K24" s="4" t="s">
        <v>123</v>
      </c>
      <c r="L24" s="4" t="s">
        <v>28</v>
      </c>
      <c r="M24" s="8"/>
      <c r="N24" s="8"/>
      <c r="O24" s="8"/>
      <c r="P24" s="8"/>
      <c r="Q24" s="8"/>
      <c r="R24" s="8"/>
      <c r="S24" s="8"/>
      <c r="T24" s="8"/>
      <c r="U24" s="8"/>
      <c r="V24" s="8"/>
      <c r="W24" s="8"/>
      <c r="X24" s="8"/>
      <c r="Y24" s="8"/>
      <c r="Z24" s="8"/>
      <c r="AA24" s="8"/>
    </row>
    <row r="25">
      <c r="A25" s="4" t="s">
        <v>124</v>
      </c>
      <c r="B25" s="11" t="s">
        <v>125</v>
      </c>
      <c r="C25" s="4" t="s">
        <v>126</v>
      </c>
      <c r="D25" s="5">
        <v>2.0</v>
      </c>
      <c r="E25" s="5">
        <v>5.0</v>
      </c>
      <c r="F25" s="5">
        <v>3.0</v>
      </c>
      <c r="G25" s="6">
        <f t="shared" si="1"/>
        <v>12</v>
      </c>
      <c r="H25" s="4" t="s">
        <v>127</v>
      </c>
      <c r="I25" s="9">
        <v>46188.0</v>
      </c>
      <c r="J25" s="4" t="s">
        <v>128</v>
      </c>
      <c r="K25" s="4" t="s">
        <v>129</v>
      </c>
      <c r="L25" s="4" t="s">
        <v>28</v>
      </c>
      <c r="M25" s="8"/>
      <c r="N25" s="8"/>
      <c r="O25" s="8"/>
      <c r="P25" s="8"/>
      <c r="Q25" s="8"/>
      <c r="R25" s="8"/>
      <c r="S25" s="8"/>
      <c r="T25" s="8"/>
      <c r="U25" s="8"/>
      <c r="V25" s="8"/>
      <c r="W25" s="8"/>
      <c r="X25" s="8"/>
      <c r="Y25" s="8"/>
      <c r="Z25" s="8"/>
      <c r="AA25" s="8"/>
    </row>
    <row r="26">
      <c r="A26" s="2"/>
      <c r="B26" s="3"/>
      <c r="C26" s="8"/>
      <c r="D26" s="12"/>
      <c r="E26" s="13"/>
      <c r="F26" s="13"/>
      <c r="G26" s="13"/>
      <c r="H26" s="8"/>
      <c r="I26" s="14"/>
      <c r="J26" s="8"/>
      <c r="K26" s="8"/>
      <c r="L26" s="8"/>
      <c r="M26" s="15"/>
      <c r="N26" s="15"/>
      <c r="O26" s="15"/>
      <c r="P26" s="15"/>
      <c r="Q26" s="15"/>
      <c r="R26" s="15"/>
      <c r="S26" s="15"/>
      <c r="T26" s="15"/>
      <c r="U26" s="15"/>
      <c r="V26" s="15"/>
      <c r="W26" s="15"/>
      <c r="X26" s="15"/>
      <c r="Y26" s="15"/>
      <c r="Z26" s="15"/>
      <c r="AA26" s="15"/>
    </row>
    <row r="27">
      <c r="A27" s="16"/>
      <c r="C27" s="15"/>
      <c r="D27" s="17"/>
      <c r="E27" s="18"/>
      <c r="F27" s="18"/>
      <c r="G27" s="18"/>
      <c r="H27" s="15"/>
      <c r="I27" s="19"/>
      <c r="J27" s="20"/>
      <c r="K27" s="15"/>
      <c r="L27" s="15"/>
      <c r="M27" s="15"/>
      <c r="N27" s="15"/>
      <c r="O27" s="15"/>
      <c r="P27" s="15"/>
      <c r="Q27" s="15"/>
      <c r="R27" s="15"/>
      <c r="S27" s="15"/>
      <c r="T27" s="15"/>
      <c r="U27" s="15"/>
      <c r="V27" s="15"/>
      <c r="W27" s="15"/>
      <c r="X27" s="15"/>
      <c r="Y27" s="15"/>
      <c r="Z27" s="15"/>
      <c r="AA27" s="15"/>
    </row>
    <row r="28">
      <c r="A28" s="16"/>
      <c r="C28" s="15"/>
      <c r="D28" s="18"/>
      <c r="E28" s="18"/>
      <c r="F28" s="18"/>
      <c r="G28" s="18"/>
      <c r="H28" s="15"/>
      <c r="I28" s="19"/>
      <c r="J28" s="15"/>
      <c r="K28" s="15"/>
      <c r="L28" s="15"/>
      <c r="M28" s="15"/>
      <c r="N28" s="15"/>
      <c r="O28" s="15"/>
      <c r="P28" s="15"/>
      <c r="Q28" s="15"/>
      <c r="R28" s="15"/>
      <c r="S28" s="15"/>
      <c r="T28" s="15"/>
      <c r="U28" s="15"/>
      <c r="V28" s="15"/>
      <c r="W28" s="15"/>
      <c r="X28" s="15"/>
      <c r="Y28" s="15"/>
      <c r="Z28" s="15"/>
      <c r="AA28" s="15"/>
    </row>
    <row r="29">
      <c r="A29" s="15"/>
      <c r="C29" s="15"/>
      <c r="D29" s="18"/>
      <c r="E29" s="18"/>
      <c r="F29" s="18"/>
      <c r="G29" s="18"/>
      <c r="H29" s="15"/>
      <c r="I29" s="19"/>
      <c r="J29" s="20"/>
      <c r="K29" s="15"/>
      <c r="L29" s="15"/>
      <c r="M29" s="15"/>
      <c r="N29" s="15"/>
      <c r="O29" s="15"/>
      <c r="P29" s="15"/>
      <c r="Q29" s="15"/>
      <c r="R29" s="15"/>
      <c r="S29" s="15"/>
      <c r="T29" s="15"/>
      <c r="U29" s="15"/>
      <c r="V29" s="15"/>
      <c r="W29" s="15"/>
      <c r="X29" s="15"/>
      <c r="Y29" s="15"/>
      <c r="Z29" s="15"/>
      <c r="AA29" s="15"/>
    </row>
    <row r="30">
      <c r="A30" s="15"/>
      <c r="C30" s="15"/>
      <c r="D30" s="18"/>
      <c r="E30" s="18"/>
      <c r="F30" s="18"/>
      <c r="G30" s="18"/>
      <c r="H30" s="15"/>
      <c r="I30" s="19"/>
      <c r="J30" s="20"/>
      <c r="K30" s="21"/>
      <c r="L30" s="21"/>
      <c r="M30" s="15"/>
      <c r="N30" s="15"/>
      <c r="O30" s="15"/>
      <c r="P30" s="15"/>
      <c r="Q30" s="15"/>
      <c r="R30" s="15"/>
      <c r="S30" s="15"/>
      <c r="T30" s="15"/>
      <c r="U30" s="15"/>
      <c r="V30" s="15"/>
      <c r="W30" s="15"/>
      <c r="X30" s="15"/>
      <c r="Y30" s="15"/>
      <c r="Z30" s="15"/>
      <c r="AA30" s="15"/>
    </row>
    <row r="31">
      <c r="A31" s="15"/>
      <c r="C31" s="15"/>
      <c r="D31" s="18"/>
      <c r="E31" s="18"/>
      <c r="F31" s="18"/>
      <c r="G31" s="18"/>
      <c r="H31" s="15"/>
      <c r="I31" s="19"/>
      <c r="J31" s="20"/>
      <c r="K31" s="15"/>
      <c r="L31" s="15"/>
      <c r="M31" s="15"/>
      <c r="N31" s="15"/>
      <c r="O31" s="15"/>
      <c r="P31" s="15"/>
      <c r="Q31" s="15"/>
      <c r="R31" s="15"/>
      <c r="S31" s="15"/>
      <c r="T31" s="15"/>
      <c r="U31" s="15"/>
      <c r="V31" s="15"/>
      <c r="W31" s="15"/>
      <c r="X31" s="15"/>
      <c r="Y31" s="15"/>
      <c r="Z31" s="15"/>
      <c r="AA31" s="15"/>
    </row>
    <row r="32">
      <c r="A32" s="15"/>
      <c r="C32" s="15"/>
      <c r="D32" s="18"/>
      <c r="E32" s="18"/>
      <c r="F32" s="18"/>
      <c r="G32" s="18"/>
      <c r="H32" s="15"/>
      <c r="I32" s="19"/>
      <c r="J32" s="20"/>
      <c r="K32" s="21"/>
      <c r="L32" s="21"/>
      <c r="M32" s="15"/>
      <c r="N32" s="15"/>
      <c r="O32" s="15"/>
      <c r="P32" s="15"/>
      <c r="Q32" s="15"/>
      <c r="R32" s="15"/>
      <c r="S32" s="15"/>
      <c r="T32" s="15"/>
      <c r="U32" s="15"/>
      <c r="V32" s="15"/>
      <c r="W32" s="15"/>
      <c r="X32" s="15"/>
      <c r="Y32" s="15"/>
      <c r="Z32" s="15"/>
      <c r="AA32" s="15"/>
    </row>
    <row r="33">
      <c r="A33" s="15"/>
      <c r="C33" s="15"/>
      <c r="D33" s="18"/>
      <c r="E33" s="18"/>
      <c r="F33" s="18"/>
      <c r="G33" s="18"/>
      <c r="H33" s="15"/>
      <c r="I33" s="19"/>
      <c r="J33" s="20"/>
      <c r="K33" s="21"/>
      <c r="L33" s="21"/>
      <c r="M33" s="21"/>
      <c r="N33" s="15"/>
      <c r="O33" s="15"/>
      <c r="P33" s="15"/>
      <c r="Q33" s="15"/>
      <c r="R33" s="15"/>
      <c r="S33" s="15"/>
      <c r="T33" s="15"/>
      <c r="U33" s="15"/>
      <c r="V33" s="15"/>
      <c r="W33" s="15"/>
      <c r="X33" s="15"/>
      <c r="Y33" s="15"/>
      <c r="Z33" s="15"/>
      <c r="AA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c r="A35" s="8"/>
      <c r="B35" s="8"/>
      <c r="C35" s="8"/>
      <c r="D35" s="18"/>
      <c r="E35" s="18"/>
      <c r="F35" s="18"/>
      <c r="G35" s="15"/>
      <c r="H35" s="15"/>
      <c r="I35" s="15"/>
      <c r="J35" s="8"/>
      <c r="K35" s="15"/>
      <c r="L35" s="15"/>
      <c r="M35" s="15"/>
      <c r="N35" s="15"/>
      <c r="O35" s="15"/>
      <c r="P35" s="15"/>
      <c r="Q35" s="15"/>
      <c r="R35" s="15"/>
      <c r="S35" s="15"/>
      <c r="T35" s="15"/>
      <c r="U35" s="15"/>
      <c r="V35" s="15"/>
      <c r="W35" s="15"/>
      <c r="X35" s="15"/>
      <c r="Y35" s="15"/>
      <c r="Z35" s="15"/>
      <c r="AA35" s="15"/>
    </row>
    <row r="36">
      <c r="A36" s="8"/>
      <c r="B36" s="8"/>
      <c r="C36" s="8"/>
      <c r="D36" s="18"/>
      <c r="E36" s="18"/>
      <c r="F36" s="18"/>
      <c r="G36" s="15"/>
      <c r="H36" s="15"/>
      <c r="I36" s="15"/>
      <c r="J36" s="8"/>
      <c r="K36" s="15"/>
      <c r="L36" s="15"/>
      <c r="M36" s="15"/>
      <c r="N36" s="15"/>
      <c r="O36" s="15"/>
      <c r="P36" s="15"/>
      <c r="Q36" s="15"/>
      <c r="R36" s="15"/>
      <c r="S36" s="15"/>
      <c r="T36" s="15"/>
      <c r="U36" s="15"/>
      <c r="V36" s="15"/>
      <c r="W36" s="15"/>
      <c r="X36" s="15"/>
      <c r="Y36" s="15"/>
      <c r="Z36" s="15"/>
      <c r="AA36" s="15"/>
    </row>
    <row r="37">
      <c r="A37" s="8"/>
      <c r="B37" s="8"/>
      <c r="C37" s="8"/>
      <c r="D37" s="18"/>
      <c r="E37" s="18"/>
      <c r="F37" s="18"/>
      <c r="G37" s="15"/>
      <c r="H37" s="15"/>
      <c r="I37" s="15"/>
      <c r="J37" s="8"/>
      <c r="K37" s="15"/>
      <c r="L37" s="15"/>
      <c r="M37" s="15"/>
      <c r="N37" s="15"/>
      <c r="O37" s="15"/>
      <c r="P37" s="15"/>
      <c r="Q37" s="15"/>
      <c r="R37" s="15"/>
      <c r="S37" s="15"/>
      <c r="T37" s="15"/>
      <c r="U37" s="15"/>
      <c r="V37" s="15"/>
      <c r="W37" s="15"/>
      <c r="X37" s="15"/>
      <c r="Y37" s="15"/>
      <c r="Z37" s="15"/>
      <c r="AA37" s="15"/>
    </row>
    <row r="38">
      <c r="A38" s="8"/>
      <c r="B38" s="8"/>
      <c r="C38" s="8"/>
      <c r="D38" s="18"/>
      <c r="E38" s="18"/>
      <c r="F38" s="18"/>
      <c r="G38" s="15"/>
      <c r="H38" s="15"/>
      <c r="I38" s="15"/>
      <c r="J38" s="8"/>
      <c r="K38" s="15"/>
      <c r="L38" s="15"/>
      <c r="M38" s="15"/>
      <c r="N38" s="15"/>
      <c r="O38" s="15"/>
      <c r="P38" s="15"/>
      <c r="Q38" s="15"/>
      <c r="R38" s="15"/>
      <c r="S38" s="15"/>
      <c r="T38" s="15"/>
      <c r="U38" s="15"/>
      <c r="V38" s="15"/>
      <c r="W38" s="15"/>
      <c r="X38" s="15"/>
      <c r="Y38" s="15"/>
      <c r="Z38" s="15"/>
      <c r="AA38" s="15"/>
    </row>
    <row r="39">
      <c r="A39" s="8"/>
      <c r="D39" s="18"/>
      <c r="E39" s="18"/>
      <c r="F39" s="18"/>
      <c r="G39" s="15"/>
      <c r="H39" s="15"/>
      <c r="I39" s="15"/>
      <c r="J39" s="8"/>
      <c r="K39" s="15"/>
      <c r="L39" s="15"/>
      <c r="M39" s="15"/>
      <c r="N39" s="15"/>
      <c r="O39" s="15"/>
      <c r="P39" s="15"/>
      <c r="Q39" s="15"/>
      <c r="R39" s="15"/>
      <c r="S39" s="15"/>
      <c r="T39" s="15"/>
      <c r="U39" s="15"/>
      <c r="V39" s="15"/>
      <c r="W39" s="15"/>
      <c r="X39" s="15"/>
      <c r="Y39" s="15"/>
      <c r="Z39" s="15"/>
      <c r="AA39" s="15"/>
    </row>
    <row r="40">
      <c r="A40" s="8"/>
      <c r="B40" s="8"/>
      <c r="C40" s="8"/>
      <c r="D40" s="18"/>
      <c r="E40" s="18"/>
      <c r="F40" s="18"/>
      <c r="G40" s="15"/>
      <c r="H40" s="15"/>
      <c r="I40" s="15"/>
      <c r="J40" s="8"/>
      <c r="K40" s="15"/>
      <c r="L40" s="15"/>
      <c r="M40" s="15"/>
      <c r="N40" s="15"/>
      <c r="O40" s="15"/>
      <c r="P40" s="15"/>
      <c r="Q40" s="15"/>
      <c r="R40" s="15"/>
      <c r="S40" s="15"/>
      <c r="T40" s="15"/>
      <c r="U40" s="15"/>
      <c r="V40" s="15"/>
      <c r="W40" s="15"/>
      <c r="X40" s="15"/>
      <c r="Y40" s="15"/>
      <c r="Z40" s="15"/>
      <c r="AA40" s="15"/>
    </row>
    <row r="41">
      <c r="A41" s="8"/>
      <c r="B41" s="8"/>
      <c r="C41" s="8"/>
      <c r="D41" s="18"/>
      <c r="E41" s="15"/>
      <c r="F41" s="15"/>
      <c r="G41" s="15"/>
      <c r="H41" s="15"/>
      <c r="I41" s="15"/>
      <c r="J41" s="8"/>
      <c r="K41" s="15"/>
      <c r="L41" s="15"/>
      <c r="M41" s="15"/>
      <c r="N41" s="15"/>
      <c r="O41" s="15"/>
      <c r="P41" s="15"/>
      <c r="Q41" s="15"/>
      <c r="R41" s="15"/>
      <c r="S41" s="15"/>
      <c r="T41" s="15"/>
      <c r="U41" s="15"/>
      <c r="V41" s="15"/>
      <c r="W41" s="15"/>
      <c r="X41" s="15"/>
      <c r="Y41" s="15"/>
      <c r="Z41" s="15"/>
      <c r="AA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4">
      <c r="A44" s="15"/>
      <c r="B44" s="15"/>
      <c r="C44" s="8"/>
      <c r="D44" s="18"/>
      <c r="E44" s="18"/>
      <c r="F44" s="15"/>
      <c r="G44" s="18"/>
      <c r="H44" s="15"/>
      <c r="I44" s="15"/>
      <c r="J44" s="20"/>
      <c r="K44" s="21"/>
      <c r="L44" s="21"/>
      <c r="M44" s="21"/>
      <c r="N44" s="15"/>
      <c r="O44" s="15"/>
      <c r="P44" s="15"/>
      <c r="Q44" s="15"/>
      <c r="R44" s="15"/>
      <c r="S44" s="15"/>
      <c r="T44" s="15"/>
      <c r="U44" s="15"/>
      <c r="V44" s="15"/>
      <c r="W44" s="15"/>
      <c r="X44" s="15"/>
      <c r="Y44" s="15"/>
      <c r="Z44" s="15"/>
      <c r="AA44" s="15"/>
    </row>
    <row r="45">
      <c r="A45" s="15"/>
      <c r="B45" s="15"/>
      <c r="C45" s="8"/>
      <c r="D45" s="18"/>
      <c r="E45" s="18"/>
      <c r="F45" s="15"/>
      <c r="G45" s="18"/>
      <c r="H45" s="15"/>
      <c r="I45" s="15"/>
      <c r="J45" s="20"/>
      <c r="K45" s="21"/>
      <c r="L45" s="15"/>
      <c r="M45" s="15"/>
      <c r="N45" s="15"/>
      <c r="O45" s="15"/>
      <c r="P45" s="15"/>
      <c r="Q45" s="15"/>
      <c r="R45" s="15"/>
      <c r="S45" s="15"/>
      <c r="T45" s="15"/>
      <c r="U45" s="15"/>
      <c r="V45" s="15"/>
      <c r="W45" s="15"/>
      <c r="X45" s="15"/>
      <c r="Y45" s="15"/>
      <c r="Z45" s="15"/>
      <c r="AA45" s="15"/>
    </row>
    <row r="46">
      <c r="A46" s="15"/>
      <c r="B46" s="15"/>
      <c r="C46" s="8"/>
      <c r="D46" s="18"/>
      <c r="E46" s="18"/>
      <c r="F46" s="15"/>
      <c r="G46" s="18"/>
      <c r="H46" s="15"/>
      <c r="I46" s="15"/>
      <c r="J46" s="15"/>
      <c r="K46" s="15"/>
      <c r="L46" s="15"/>
      <c r="M46" s="15"/>
      <c r="N46" s="15"/>
      <c r="O46" s="15"/>
      <c r="P46" s="15"/>
      <c r="Q46" s="15"/>
      <c r="R46" s="15"/>
      <c r="S46" s="15"/>
      <c r="T46" s="15"/>
      <c r="U46" s="15"/>
      <c r="V46" s="15"/>
      <c r="W46" s="15"/>
      <c r="X46" s="15"/>
      <c r="Y46" s="15"/>
      <c r="Z46" s="15"/>
      <c r="AA46" s="15"/>
    </row>
    <row r="47">
      <c r="A47" s="15"/>
      <c r="B47" s="15"/>
      <c r="C47" s="8"/>
      <c r="D47" s="18"/>
      <c r="E47" s="18"/>
      <c r="F47" s="15"/>
      <c r="G47" s="18"/>
      <c r="H47" s="15"/>
      <c r="I47" s="15"/>
      <c r="J47" s="15"/>
      <c r="K47" s="15"/>
      <c r="L47" s="15"/>
      <c r="M47" s="15"/>
      <c r="N47" s="15"/>
      <c r="O47" s="15"/>
      <c r="P47" s="15"/>
      <c r="Q47" s="15"/>
      <c r="R47" s="15"/>
      <c r="S47" s="15"/>
      <c r="T47" s="15"/>
      <c r="U47" s="15"/>
      <c r="V47" s="15"/>
      <c r="W47" s="15"/>
      <c r="X47" s="15"/>
      <c r="Y47" s="15"/>
      <c r="Z47" s="15"/>
      <c r="AA47" s="15"/>
    </row>
  </sheetData>
  <conditionalFormatting sqref="L1:L1025">
    <cfRule type="containsText" dxfId="0" priority="1" operator="containsText" text="Closed">
      <formula>NOT(ISERROR(SEARCH(("Closed"),(L1))))</formula>
    </cfRule>
  </conditionalFormatting>
  <conditionalFormatting sqref="L1:L100">
    <cfRule type="containsText" dxfId="1" priority="2" operator="containsText" text="Open">
      <formula>NOT(ISERROR(SEARCH(("Open"),(L1))))</formula>
    </cfRule>
  </conditionalFormatting>
  <drawing r:id="rId1"/>
</worksheet>
</file>