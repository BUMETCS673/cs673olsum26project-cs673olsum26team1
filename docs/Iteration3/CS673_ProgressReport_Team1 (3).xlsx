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Fatimah Hassan" sheetId="4" r:id="rId7"/>
    <sheet state="hidden" name="studentName" sheetId="5" r:id="rId8"/>
    <sheet state="visible" name="Shaima Nimeri" sheetId="6" r:id="rId9"/>
    <sheet state="visible" name="Jianing Li" sheetId="7" r:id="rId10"/>
    <sheet state="visible" name="Kolya Gavlishin" sheetId="8" r:id="rId11"/>
    <sheet state="visible" name="Kai Fernande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tc={71cd529a-f883-4f91-b3b9-b050fcadc503}</author>
  </authors>
  <commentList>
    <comment authorId="0" xr:uid="{71cd529a-f883-4f91-b3b9-b050fcadc503}" ref="L3">
      <text>
        <t xml:space="preserve">[Threaded comment]
 Your version of Excel allows you to read this threaded comment; however, any edits to it will get removed if the file is opened in a newer version of Excel. Learn more: https://go.microsoft.com/fwlink/?linkid=870924
Comment:
	These are calculated without Jianing's hours for iterations 0 and 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tc={0244a888-c4cc-4e55-b6c1-3076c7bcc30e}</author>
    <author>tc={8e9b5029-39af-4a02-a512-1c85077d797f}</author>
    <author>tc={bea61761-ce77-42c0-9976-2363a4534084}</author>
    <author>tc={ee7436f0-7083-42a0-8515-3f4bf3d7afff}</author>
  </authors>
  <commentList>
    <comment authorId="0" xr:uid="{0244a888-c4cc-4e55-b6c1-3076c7bcc30e}" ref="A9">
      <text>
        <t xml:space="preserve">[Threaded comment]
 Your version of Excel allows you to read this threaded comment; however, any edits to it will get removed if the file is opened in a newer version of Excel. Learn more: https://go.microsoft.com/fwlink/?linkid=870924
Comment:
	please add more details
</t>
      </text>
    </comment>
    <comment authorId="1" xr:uid="{8e9b5029-39af-4a02-a512-1c85077d797f}" ref="B12">
      <text>
        <t xml:space="preserve">[Threaded comment]
 Your version of Excel allows you to read this threaded comment; however, any edits to it will get removed if the file is opened in a newer version of Excel. Learn more: https://go.microsoft.com/fwlink/?linkid=870924
Comment:
	should be iteration 1
</t>
      </text>
    </comment>
    <comment authorId="2" xr:uid="{bea61761-ce77-42c0-9976-2363a4534084}" ref="A8">
      <text>
        <t xml:space="preserve">[Threaded comment]
 Your version of Excel allows you to read this threaded comment; however, any edits to it will get removed if the file is opened in a newer version of Excel. Learn more: https://go.microsoft.com/fwlink/?linkid=870924
Comment:
	good log
</t>
      </text>
    </comment>
    <comment authorId="3" xr:uid="{ee7436f0-7083-42a0-8515-3f4bf3d7afff}" ref="A7">
      <text>
        <t xml:space="preserve">[Threaded comment]
 Your version of Excel allows you to read this threaded comment; however, any edits to it will get removed if the file is opened in a newer version of Excel. Learn more: https://go.microsoft.com/fwlink/?linkid=870924
Comment:
	please add more details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tc={3ce491e6-f59d-4baf-b208-99c1003df44c}</author>
  </authors>
  <commentList>
    <comment authorId="0" xr:uid="{3ce491e6-f59d-4baf-b208-99c1003df44c}" ref="A5">
      <text>
        <t xml:space="preserve">[Threaded comment]
 Your version of Excel allows you to read this threaded comment; however, any edits to it will get removed if the file is opened in a newer version of Excel. Learn more: https://go.microsoft.com/fwlink/?linkid=870924
Comment:
	should have one row for each week.
</t>
      </text>
    </comment>
  </commentList>
</comments>
</file>

<file path=xl/sharedStrings.xml><?xml version="1.0" encoding="utf-8"?>
<sst xmlns="http://schemas.openxmlformats.org/spreadsheetml/2006/main" count="757" uniqueCount="541">
  <si>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</si>
  <si>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</si>
  <si>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</si>
  <si>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</si>
  <si>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</si>
  <si>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</si>
  <si>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</si>
  <si>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</si>
  <si>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</si>
  <si>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</si>
  <si>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</si>
  <si>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</si>
  <si>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</si>
  <si>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</si>
  <si>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</si>
  <si>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</si>
  <si>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</si>
  <si>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</si>
  <si>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</si>
  <si>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</si>
  <si>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</si>
  <si>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</si>
  <si>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</si>
  <si>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</si>
  <si>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 --&gt;</t>
  </si>
  <si>
    <t>Lines of code</t>
  </si>
  <si>
    <t>File count</t>
  </si>
  <si>
    <t>Cyclomatic complexity</t>
  </si>
  <si>
    <t>Test Coverage</t>
  </si>
  <si>
    <t># of test cases</t>
  </si>
  <si>
    <t>test pass rate</t>
  </si>
  <si>
    <t>Security findings (SAST)</t>
  </si>
  <si>
    <t>Code review turnaround</t>
  </si>
  <si>
    <t>Stories planned vs completed</t>
  </si>
  <si>
    <t>Defect rate (defects/KLOC)</t>
  </si>
  <si>
    <t>Defect density per module</t>
  </si>
  <si>
    <t>Defect resolution time</t>
  </si>
  <si>
    <t>Person-hours actual vs estimated</t>
  </si>
  <si>
    <t>05/04-05/14</t>
  </si>
  <si>
    <t>Team met 2 times to discuss project deliverables and plan; Assigned roles and iter. 0 tasks; Completed iteration 0 documentation (SPPP, risk management plan, progress report, meeting minutes, presentation); Created user stories and imported them into jira; Configured git and set up repo; Proposed, researched, and reviewed system architecture</t>
  </si>
  <si>
    <t>None</t>
  </si>
  <si>
    <t>- Making sure documents meet course requirements
- Team disagreeing on backend choice for Ai work
- Teammates unfamiliar wiht different areas of the tech stack</t>
  </si>
  <si>
    <t>- Team lead adresses areas that do not meet documentation standards
- Team will meet to discuss which options are best for AI functionality
- Team members will research the areas that they are unfamiliar with</t>
  </si>
  <si>
    <t>N/A</t>
  </si>
  <si>
    <t>05/15-5/25</t>
  </si>
  <si>
    <t>Got intial application running including frontend, backend, and database; Users can log in/ log out securely; Patients can register, calculate BMI, pick a specialist, and new their next steps in the process; Coordinators can view and search for patients, update patient statuses, and assign adn track specialist recommendations;  Completed 17 user story points (9 stories)</t>
  </si>
  <si>
    <t>- Github branch mixups
- Firebase on Fatimah private email
- Created non protected routes that should hav ebeen protected</t>
  </si>
  <si>
    <t xml:space="preserve">- Teammates unfamiliar with specific tools in the tech stack
- API port mismatch 
</t>
  </si>
  <si>
    <t>- team members research areas they are unfamiliar with
- find long term solution for firebase acces
- corrected ports in VITE_API_URL
- team will be more vigilant with checking branches before commits/PRs
- team will be sure to create protected routes moving forward</t>
  </si>
  <si>
    <t>~3.5 per function</t>
  </si>
  <si>
    <t>N/A (SAST planned for Iteration 3)</t>
  </si>
  <si>
    <t>~ 2 days</t>
  </si>
  <si>
    <t>Planned: 9
Completed: 9</t>
  </si>
  <si>
    <t>0.334 defects/KLOC</t>
  </si>
  <si>
    <t>Auth: 1 
Infrastructure: 1
Patient routes: 0
Audit log: 0
Secrets: 0
Frontend: 0</t>
  </si>
  <si>
    <t>1.8 days</t>
  </si>
  <si>
    <t>Actual: 90.5 
Estimated: 55-70</t>
  </si>
  <si>
    <t>5/26 - 6/8</t>
  </si>
  <si>
    <t>Overall great team communication and delegation of tasks and responsibilities; Completed 24 user story points (9 stories); Patient portal page: Patient checklist automatically updates when coordinator makes changes and patient gets notifications, they can view notifications and mark them as read, when all checklist items are complete a surgey cleared banner is visible, privacy policy disclaimer and consent are shown during registration ; Coordinator dashboard: coordinators can view new patients, patient portal will automatically update when coordinator makes changes to any column status or the checklist, they can update the insurance and clinical order columns for selected patient; Patient can ask AI chatbot about program status</t>
  </si>
  <si>
    <t>- Test files not matching correct paths for setup
- Mocks had to be fixed for tests so actual connections were not attempted
- new patients arent receiving correct checklist</t>
  </si>
  <si>
    <t>- Patient portal page needed refactoring because it was too long
- Some work overlapping in user stories</t>
  </si>
  <si>
    <t>- mocks were fixed
- Patient portal page was refactored
- New patient checklist issue was addressed and handled
- reassessed stories and overlap, will make sure this does happen in the final iteration</t>
  </si>
  <si>
    <t>~4.67 per function</t>
  </si>
  <si>
    <t>90% (by function)</t>
  </si>
  <si>
    <t>~20 hours</t>
  </si>
  <si>
    <t>Planned: 9
Completed: 10</t>
  </si>
  <si>
    <t>0.12 defects/KLOC</t>
  </si>
  <si>
    <t>Auth: 0
Infrastructure: 1
Patient routes: 0
Audit log: 0
Secrets: 0
Frontend: 2</t>
  </si>
  <si>
    <t>~1 day</t>
  </si>
  <si>
    <t>Actual: 164.5
Estimated: 70-90</t>
  </si>
  <si>
    <t>6/09 - 6/16</t>
  </si>
  <si>
    <t>Strong team collaboration, code reviews, testing, and deployment efforts; Completed BARI-25, BARI-26, BARI-27, BARI-28, BARI-31, and BARI-261, adding specialist filtering, patient sorting, summary metrics, and director dashboard functionality; Enhanced coordinator and director dashboards with reusable search, filtering, sorting, dynamic patient counts, improved layouts, and additional patient metrics; Added automated tests for the director dashboard, patient metrics, read-only banner, search bar, sorting functionality, and related components, along with extensive manual testing and bug fixes; Deployed the application to DigitalOcean with Docker, Nginx reverse proxy, HTTPS, email notification support, and production environment configuration; Resolved deployment, authentication, filtering, email, Firebase, CORS, and API integration issues; Implemented and validated CI/CD and security scanning pipelines using CodeQL, Trivy, and OWASP ZAP with all workflows passing successfully; Created and tested production-ready infrastructure, added director role support and test data, and verified successful deployment and operation of the live application; Prepared and delivered the final presentation, demo, code walkthrough, and project recordings.</t>
  </si>
  <si>
    <t>- IDOR (Insecure Direct Object Reference) / object-level access control on patient routes not fully implemented
- Password reset emails landing in spam due to Firebase free-tier sender domain reputation</t>
  </si>
  <si>
    <t>- SonarCloud integration blocked due to organization-owner approval requirements; team chose to use CodeQL and Trivy instead</t>
  </si>
  <si>
    <t>- Team determined that existing security scanning through CodeQL and Trivy provides sufficient static analysis and dependency scanning coverage for project requirements. SonarCloud integration was documented as a deliberate scope decision rather than an unresolved issue.
- Documented in the threat model as a known security limitation. Partial ownership checks were added, but full route-level authorization hardening was deferred due to project timeline constraints. Planned future work includes implementing comprehensive ownership and access-control validation across patient routes.
- Documented in deployment notes. Current behavior is caused by Firebase free-tier sender domain reputation. Recommended production solution is to configure a verified custom email domain or use a dedicated email provider such as SendGrid or Postmark.</t>
  </si>
  <si>
    <t>84.5% Statement coverage
75.2% Branch coverage</t>
  </si>
  <si>
    <t>DAST - 0 High/Med/Low findings</t>
  </si>
  <si>
    <t>Planned:6
Completed: 6</t>
  </si>
  <si>
    <t>0.04 defects/KLOC</t>
  </si>
  <si>
    <t>Auth: 0
Infrastructure: 0
Patient routes: 0
Audit log: 0
Secrets: 0
Frontend: 0</t>
  </si>
  <si>
    <t>Actual: 110.5
Estimated: 40-50</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</si>
  <si>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</si>
  <si>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</si>
  <si>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</si>
  <si>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</si>
  <si>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</si>
  <si>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</si>
  <si>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</si>
  <si>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</si>
  <si>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Week 1</t>
  </si>
  <si>
    <t>Shaima</t>
  </si>
  <si>
    <t>SPPP sections 1-3 and 4.a</t>
  </si>
  <si>
    <t>Used AI to be able to communicate design ideas and vision clearly and professionally.</t>
  </si>
  <si>
    <t>Kai</t>
  </si>
  <si>
    <t>ChatGPT</t>
  </si>
  <si>
    <t>SPPP section 5</t>
  </si>
  <si>
    <t>Accepted, slight modification</t>
  </si>
  <si>
    <t>Modification was adjusting the recommended branching strategy to match our team's decision</t>
  </si>
  <si>
    <t>Prompt summary: Based on a 4 person team for a six week project, what are the ideal git branching strategies
Output summary: Github flow, Gitflow, Trunk-based</t>
  </si>
  <si>
    <t>Fatimah</t>
  </si>
  <si>
    <t>Claude | ChatGPT</t>
  </si>
  <si>
    <t>SPPP Section 6 – Quality Assurance Plan, quality metrics definition, PR review checklist, testing strategy, CI/CD quality considerations, and defect tracking approach.</t>
  </si>
  <si>
    <t>AI-generated suggestions were reviewed and refined to align with the project scope, healthcare workflow requirements, and the team’s selected Agile process. Quality metrics, pull request checklist items, and testing approaches were adjusted to better fit the BariatricPath system architecture and team workflow. Some generated recommendations were simplified to match the iteration scope and available development timeline.</t>
  </si>
  <si>
    <t>Used AI to assist in drafting the Quality Assurance Plan, including defining software quality metrics, testing strategies, review processes, defect management workflow, and pull request checklist structure. AI also helped generate examples of unit testing, integration testing, and CI/CD quality practices relevant to a healthcare-oriented AI-assisted application. Outputs were evaluated, selectively adopted, and revised to ensure consistency with the team’s architecture, project scope, and Agile iteration goals.</t>
  </si>
  <si>
    <t>Jianing Li</t>
  </si>
  <si>
    <t>Gemini</t>
  </si>
  <si>
    <r>
      <rPr>
        <b/>
      </rPr>
      <t>Gemini Notebook ML:</t>
    </r>
    <r>
      <rPr/>
      <t xml:space="preserve"> Used to design a speific learning path for myself from configuration, setup, user stories and development. It serves as my personal tutor to teach all necessary concepts. 
</t>
    </r>
    <r>
      <rPr>
        <b/>
      </rPr>
      <t>Google Antigravity</t>
    </r>
    <r>
      <rPr/>
      <t xml:space="preserve">; AI-enabled coding IDE to assist with building framework and bug fixes. </t>
    </r>
  </si>
  <si>
    <t>Accepted with modification</t>
  </si>
  <si>
    <t xml:space="preserve">None of the tasks were taken directly from AI. AI is used for learning and guiding only. </t>
  </si>
  <si>
    <t>Week 2/3 (Iteration 1)</t>
  </si>
  <si>
    <t>Implementation of BARI-7 (registration) and BARI-9 (logout) -- auth routes, middleware, React auth pages</t>
  </si>
  <si>
    <t>Accepted, with modification</t>
  </si>
  <si>
    <t>All generated code reviewed line by line, adapted to our Prisma schema and Firebase architecture, and tested manually before committing. Skipped suggested packages (jsonwebtoken, bcryptjs) that didn't fit our Firebase-based design.</t>
  </si>
  <si>
    <t>Prompt summary: how to implement Firebase + Express authentication with role-based access. Output: register/login/me endpoints, verifyAuth/requireRole middleware, auth UI components</t>
  </si>
  <si>
    <t>Kolya</t>
  </si>
  <si>
    <t>5/15-5/22</t>
  </si>
  <si>
    <t>Claude Code</t>
  </si>
  <si>
    <t xml:space="preserve">Implementation of Coordinator Dashboard:
Patient Table
Search by DOB, Name, and MRN
Filters by Insurance, Status, and Specialist
Unit and Integration Test Creation
Help with debugging issues with fetching and authentication
</t>
  </si>
  <si>
    <t>Accepted with Modification and Refactoring</t>
  </si>
  <si>
    <t xml:space="preserve">I evaluated all the generated code line by line to understand it and make sure it made sense for the project and the specific features that I was working on. It was not that helpful for debugging issues with authentication. I had to rely on my teammates for that. It was very helpful for implementation of the user stories, desired features, and tests.  </t>
  </si>
  <si>
    <r>
      <rPr/>
      <t xml:space="preserve">AI Generated Summary of </t>
    </r>
    <r>
      <rPr>
        <color rgb="FF1155CC"/>
        <u/>
      </rPr>
      <t>My AI Log</t>
    </r>
    <r>
      <rPr/>
      <t xml:space="preserve">:
AI Log Summary
Tool used throughout: Claude Code (claude-sonnet-4-6)
All sessions dated: 2026-05-24
Session 1 — Documentation &amp; Schema (3 prompts)
Your prompts: You asked AI to proofread and expand your database schema description, then generate a UML diagram, then review and expand your UI description of the coordinator dashboard.
AI contributions:
Caught factual errors in your schema description (wrong entity count, wrong data type for isRead) and filled in missing details about Firebase auth, enum types, cascade behavior, and default values.
Generated a complete Mermaid UML class diagram saved to docs/Iteration0/personal docs/schema-uml.md.
Expanded the dashboard UI description with precise color thresholds, debounce timing (300ms), loading/error/empty states, and specialist badge color semantics.
Session 2 — Feature Build: Patient List (13 prompts)
This was the main development session. You drove step-by-step with tightly scoped prompts:
Prompt        Your ask        AI's code contribution
1        Fix seed data to match insurance/specialist/checklist rules        Rewrote seed.js with correct BMI-based specialist types, varied insurance statuses, and per-type checklist values
2        Update GET /api/patients to return progress + support filters        Added computeProgress() to searchDB.js, wired filter params to the Prisma query, updated patients.js route
3        Build PatientTableList.jsx with all columns; extract from dashboard; add filter dropdowns        Created ProgressBar.jsx, PatientTableList.jsx; updated CoordinatorDashboard.jsx
4        Extract filter dropdowns into their own components        Created SpecialistFilter.jsx and InsuranceFilter.jsx
5        Move progress logic to calculateProgress.js        Created calculateProgress.js, updated imports across searchDB.js and patients.js
6        Move date validation logic to validateDate.js        Created validateDate.js, updated searchDB.js imports
7        Write Jest unit tests for calculateProgress.js        Created 25 tests across 6 groups covering standard and edge cases — all passed
8        "What's the test command?"        npx jest calculateProgress.test.js
9        Date search is broken        Found 2 bugs: circular self-require in validateDate.js and a UTC/local timezone mismatch in getDateRange(); fixed both
10        Move search/fetch logic into SearchBar.jsx        Created SearchBar.jsx owning all state/fetch/debounce; simplified CoordinatorDashboard.jsx to just layout
11        Fix row height inconsistency; fix progress bar colors        Fixed N/A row height in ProgressBar.jsx; changed green threshold to 100% only
12        Write integration tests for the patient list endpoint        Created 16 integration tests in routes/patients.test.js using supertest + mocked Prisma — all passed
13        Transfer session to AI Log.txt        Transcribed all prompts/outputs to the log file
Session 3 — Bug Fix: API Connectivity (5 prompts)
Your prompts: You reported a JSON parse error in the browser (no data coming back from the API) and then CORS errors. You also asked about alternative approaches and chose the env var approach over the Vite proxy.
AI contributions:
Diagnosed the JSON parse error as a missing Vite proxy config (Vite was returning HTML instead of API data).
Added the proxy to vite.config.js, then identified a second bug: wrong port (5000 vs. 5001).
Diagnosed the CORS error as api.js bypassing the proxy with absolute URLs.
When you chose the env var approach instead, removed the proxy and updated SearchBar.jsx to use import.meta.env.VITE_API_URL for its fetch call.
Overall pattern: You used AI as a pair programmer with tight, incremental prompts — each scoped to one file or concern. AI's main contributions were new files (calculateProgress.js, validateDate.js, SearchBar.jsx, PatientTableList.jsx, ProgressBar.jsx, filter components, test files), bug diagnosis, and documentation expansion. You reviewed each output before moving to the next step. </t>
    </r>
  </si>
  <si>
    <t>05/15-05/24</t>
  </si>
  <si>
    <t>Implementation of BMI calculation and eligibility, Infrastructure testing, unit testing, creating github workflow for metric tracking, Class diagram review, routing confirmation, debugging</t>
  </si>
  <si>
    <t>Accepting with modification and validation</t>
  </si>
  <si>
    <t>I evaluated all lines of code and the code structure, making sure it was readable and correct, also testing the code often to make sure there were no hidden bugs</t>
  </si>
  <si>
    <r>
      <rPr/>
      <t xml:space="preserve">STD/Infrastructure testing- Prompt summary: I am in charge of infrastructure smoke tests. Provide  full step by step instructions on how to do the necessary tests, what tools i should use, files i have to make, etc as someone that is new to testing. (I also provided the table format that my team is using for manual testing in our STD)
SDD introduction - </t>
    </r>
    <r>
      <rPr>
        <color rgb="FF1155CC"/>
        <u/>
      </rPr>
      <t>https://claude.ai/chat/f6a09ede-4e2a-4b38-959b-7af92f126e7a</t>
    </r>
    <r>
      <rPr/>
      <t xml:space="preserve"> 
SDD section 7 - Prompt summary section 7: Given the following classes and general structure, draft some descriptions and any missing class connections
Output summary: Gave many good suggestions on missing connections and gave description of each class
BMI input validation- Prompt summary: I asked for basic input validation to be added to my code such as NaN values, boundaries to add (no zeroes), etc
Output summary: Provided a lightly modified React component that prevents invalid BMI calculations and blocks bad inputs before navigation. 
BMI boundary testing - Prompt summary: I listed existing BMI tests and asked for feedback.
Output summary: Confirmed the coverage was solid and explained that the tests already handle calculation accuracy, edge cases, rounding, and input parsing appropriately.
Routing logic - Prompt summary: I shared routing logic that redirects users based on BMI and asked about correctness.
Output summary: Reviewed the React Router conditional navigation and confirmed it was correct, including state passing and formatted BMI handling.
Github workflow - Prompt summary:
I asked how to set up a GitHub Actions workflow to track metrics like lines of code (LOC), file/class counts, cyclomatic complexity, and test coverage. I also needed help installing tools like cloc in CI and fixing issues where the workflow was failing, not showing duration, or not updating after I pushed new commits. Output summary:
Explained how to structure a GitHub Actions workflow to collect and report metrics in CI. Guided me through using cloc for LOC, ESLint for complexity/static analysis, and CI logs or PR comments for output reporting. Also helped troubleshoot GitHub Actions issues like failed runs, missing refresh after commits, and how workflow triggers and re-runs actually work.
</t>
    </r>
  </si>
  <si>
    <r>
      <rPr>
        <b/>
      </rPr>
      <t>Gemini Notebook ML:</t>
    </r>
    <r>
      <rPr/>
      <t xml:space="preserve"> Used to design a speific learning path for myself from configuration, setup, user stories and development. It serves as my personal tutor to teach all necessary concepts. 
</t>
    </r>
    <r>
      <rPr>
        <b/>
      </rPr>
      <t>Google Antigravity</t>
    </r>
    <r>
      <rPr/>
      <t xml:space="preserve">; AI-enabled coding IDE to assist with building framework and bug fixes. </t>
    </r>
  </si>
  <si>
    <t>Week 4/5 (Iteration 2)</t>
  </si>
  <si>
    <t>05/26 - 06/01</t>
  </si>
  <si>
    <t>I prompted Claude code with the user stories, subtasks, and acceptance tests for my user stories this iteration. I provided context of relevant files, how to implement them, and where they should be located. 
Additionally, I prompted it to create jest tests for each story.</t>
  </si>
  <si>
    <t xml:space="preserve">I evaluated all the generated code line by line to understand it and make sure it made sense for the project and the specific features that I was working on. 
It was helpful for debugging the issue with testing setup, but that was ultimately fixed by another teammate.
It was not helpful with verifying backend behavior. I tested that manually myself. </t>
  </si>
  <si>
    <r>
      <rPr/>
      <t xml:space="preserve">AI Generated Summary of </t>
    </r>
    <r>
      <rPr>
        <color rgb="FF1155CC"/>
        <u/>
      </rPr>
      <t>My AI Log</t>
    </r>
    <r>
      <rPr/>
      <t>:
Tool: Claude Code (claude-sonnet-4-6)
Prompts and AI Use:
1–2. Patient detail page + row navigation — Provided acceptance criteria for the insurance status feature and asked AI to build the PatientDetail.jsx page layout and make patient table rows clickable. AI created the page, added the route to App.jsx, and wired navigation in PatientTableList. High AI contribution; human provided requirements.
Insurance dropdown + save — Asked AI to add the insurance dropdown, saving indicator, and immediate badge update. AI built the InsuranceSection with controlled state, inline spinner, and optimistic update via the existing apiRequest utility. High AI contribution.
Verify audit log and notification — Asked AI to verify backend behavior at runtime. AI was blocked by Firebase auth and instead confirmed the behavior through code review and provided SQL queries for manual verification. Partial AI contribution.
(</t>
    </r>
    <r>
      <rPr>
        <b/>
      </rPr>
      <t>Note: This didn't work. I checked it manually.)</t>
    </r>
    <r>
      <rPr/>
      <t xml:space="preserve">
5, 18. File lists — Asked AI to list files edited in the session. Informational only.
6–8. Clinical checklist feature — Provided acceptance criteria and subtasks for the clinical checklist. AI noted the backend route already existed and built ClinicalChecklist and ClinicalRow in PatientDetail.jsx. When follow-up prompts asked to connect dropdowns and update badges/progress bar, AI confirmed all of it was already implemented. Human then confirmed to keep apiRequest over axios.
SQL verification queries — Asked for SQL to check audit log and notification records. AI provided parameterized queries for both tables.
10–11. Backend behavior questions — Asked whether audit log and notification are created on clinical updates. AI answered yes and pointed to the exact lines in patients.js.
12–13. Component extraction (ClinicalChecklist + InsuranceUpdate) — Asked AI to refactor PatientDetail.jsx by moving checklist logic to ClinicalChecklist.jsx and insurance logic to InsuranceUpdate.jsx. AI performed both extractions with no logic changes. High AI contribution; human made the architectural decision.
Bug fix — After the extraction broke the page, AI identified the missing apiRequest import that was accidentally removed and restored it.
UI centering — Asked AI to center the insurance dropdown under the status badge. Small CSS change.
16–17. Jest tests — Asked AI to write Jest tests for the insurance and clinical update routes. AI created insuranceStatus.test.js and clinicalUpdate.test.js covering update behavior, audit log, and notification assertions. High AI contribution; human reviewed and approved.
21–22. Jest setup.js fix — Reported that moving test files to __tests__/ broke setup.js, patients.test.js, and notifications.test.js. AI investigated, identified that Jest was treating setup.js as a test suite, and created jest.config.js to register it as a setup file and exclude it from discovery.
AI Log export — Asked AI to transcribe the full session to AI Log.txt. Mechanical task.
Overall AI use in this period: Heavy feature development — AI handled the majority of code generation for the patient detail page, insurance and clinical update components, component extraction refactors, and the Jest test suites. Human contributions were requirements definition, architectural decisions (component boundaries, apiRequest vs axios), manual testing, and final review. AI also served a diagnostic role for the auth issue and the Jest setup problem.</t>
    </r>
  </si>
  <si>
    <t xml:space="preserve">Kai </t>
  </si>
  <si>
    <t>05/25-06/01</t>
  </si>
  <si>
    <t>Claude/ Chat GPT</t>
  </si>
  <si>
    <t xml:space="preserve">General troubleshooting with environment or errors, specifically with docker and prisma. 
Checking logic for bari-20 and Generating automated tests </t>
  </si>
  <si>
    <t>Accepted with verification and modification where needed</t>
  </si>
  <si>
    <t>For bari-20 tests had to make sure it covered all of the different edge cases</t>
  </si>
  <si>
    <t>Prompt summary: Given the following surgery cleared banner component, give me tests that will validate that it is being rendered correctly on the screen
Output summary: Provided test files for surgery cleared banner component to verify rendering
Prompt summary: Given the following (bari-20)code and context, give me some vitest tests that cover when a user has their checklist at 0%, 100%, and is only partially complete, as well as any other edge cases i may be missing
Output summary: Give me vitest files and instructinos on how to run them
Prompt summary (similar format for all troubleshooting): I am getting the following error when trying to run docker/prisma (*inserted error*) what is the cause of the error and how can i fix it without changing major parts of my code
Output summary: Gave me options on how to fix my issues</t>
  </si>
  <si>
    <t>06/02-06/08</t>
  </si>
  <si>
    <t>I used it for diagnose of a bug and help with fixing a bug.
Additionally, I used it for help with environment troubleshooting.
It helped me with documentation of testing, including providing an inventory of test suites and notes on them, schema, and UI.
Honestly, sometimes I just used it to find a simple command I should've known or could have looked up with a traditional search.</t>
  </si>
  <si>
    <r>
      <rPr/>
      <t xml:space="preserve">AI Generated Summary of </t>
    </r>
    <r>
      <rPr>
        <color rgb="FF1155CC"/>
        <u/>
      </rPr>
      <t>My AI Log</t>
    </r>
    <r>
      <rPr/>
      <t>:
AI Usage Summary — June 2 through June 7, 2026
Tool: Claude Code (claude-sonnet-4-6)
Session 1 — 2026-06-06 (6 prompts)
Focus: Bug fixes and environment troubleshooting
Your prompts covered:
Fixing syntax errors (missing &lt;/div&gt; and }) in PatientPortal.jsx
How to install Python 3.11 on Windows
Troubleshooting the uvicorn command for the AI service
Explaining terminal warning/error messages from the AI service startup
AI contribution: Fixed a broken JSX file, identified the correct uvicorn invocation (wrong directory / inactive venv), and explained three categories of AI-service warnings (LangChain deprecation, ChromaDB telemetry mismatch, normal HTTP 200 log).
Session 2 — 2026-06-06 (11 prompts)
Focus: Documentation — schema, coordinator dashboard, and UI diagrams
Your prompts covered:
Comparing the schema description against schema.prisma for accuracy
Editing the schema description and UML diagram to include the User ↔ Patient one-to-one relation and bmi default
Reviewing the coordinator dashboard description against the current components
Creating a corrected coordinator dashboard description file
Expanding the description to cover the patient detail page
Generating a Mermaid flowchart diagram of the UI
Generating an Excalidraw wireframe diagram of the UI
AI contribution: Identified three discrepancies in the dashboard description (wrong insurance badge colors, missing "New" badge, missing row navigation), produced corrected documentation, and created two UI diagrams (Mermaid and Excalidraw format).
Session 3 — 2026-06-06 (3 prompts)
Focus: Test coverage reporting
Your prompts covered:
Finding the command for test coverage
Requesting a structured report of all tests in server/__tests__/ and client/src/__tests__/
AI contribution: Provided coverage commands for both Vitest (client) and Jest (server), then read all 9 test files and produced a full organized report with per-file topic and summary.
Session 4 — 2026-06-06 (5 prompts)
Focus: Bug fix — checklist not initializing for new patients
Your prompts covered:
Diagnosing why new patients showed only 3 active checklist items regardless of specialist type
Re-diagnosing after a manual edit broke the fix
Asking whether new unit tests were needed to cover this bug
Requesting a PR summary of the issue and changes
AI contribution: Traced the bug to PATCH /patients/:id/specialist never initializing clinical fields from schema defaults, applied the fix, restored it after a manual edit introduced a silent no-op, and added 11 new tests covering all three specialist types plus validation and error paths (bringing the suite to 58 passing tests).
Overall Pattern
You used AI primarily in three ways: building features (delegating implementation of new pages, components, and API routes), refactoring and debugging (extracting components, diagnosing broken imports and test configuration), and documentation (reviewing and correcting written descriptions, generating UML and wireframe diagrams). In most sessions, you drove the direction via acceptance criteria or a specific symptom, then reviewed and adjusted the output before accepting it.</t>
    </r>
  </si>
  <si>
    <t xml:space="preserve">Fixed 4 failing test assertions
in patiens.test.js and 
searchDB.test.js to include
orderBy: {createdAt: 'desc' }. 
Generated automated tests for BARI-24
acceptance tests, unit tests
Diagnosed missing DIRECT_URL 
docker-compose.yml
</t>
  </si>
  <si>
    <t>Accepted with Modification and Refactoring
modified
accepted</t>
  </si>
  <si>
    <t>Reviewed each assertion to confirm
it matched the actual route behavior
Reviewed all tests against acceptance 
criteria and business logic requirments
verified fix by running migrations inside
Docker container succefully</t>
  </si>
  <si>
    <t>Claude identified the mismatch between implentation and 
terst expectatons after orderBy was added
~90% AI generated, human reviewed and verified correctness
Claude identified that Prisma requires both DATABASE_URL and DIRECT _URL</t>
  </si>
  <si>
    <t>BARI-20 patient portal test; BARI-19 styling ; Diagnosing and assessing failed infrastructure test INFRA-05 ; folder restructuring issues</t>
  </si>
  <si>
    <t>Verified that the failed infrastructure test is failing for the given reason</t>
  </si>
  <si>
    <t>Prompt summary: I need to add vitest tests to check that my logic for showing the surgery cleared banner in the patient portal page is correct not that the page has been refactored, make sure to cover when a patient checklist is at 0%, 100% and is partially complete as well as any other edge cases
Output summary: Provided tests that covered edge cases and how to run them
prompt summary: Here is my code for restyling a sectino of our code, verify that this follows boostrap styling
Output summary: Recommendations on what to change so that it meets styling requirements
Prompt summary: My infrastructure test failed because our .env file is visible in our docker container, is this something that can be fixed or is it a development issue
Output summary: There are ways to fix it, but it should not be a problem once we deploy. If the team decides that this dev-only risk is acceptable for now it can be left and double checked during deployment
Prompt summary (used similar prompts for each error i ran into): I am restructuring our repository's files so that our production code is in one folder and tests are in another. While restructuring, I ran into a certain error. Interpret this error for me and give me possible solutions
Output summary: Provided possible solutions and step by step instructions on how to assess and fix them</t>
  </si>
  <si>
    <t xml:space="preserve">Fatimah Hassan </t>
  </si>
  <si>
    <t>AI Microservice implementation:
- main.py (FastAPI endpoints, request/response models, role validation)
- rag.py (RAG pipeline, role-based prompts, ChromaDB retrieval,
  conversation memory with 7-exchange history)
- load_data.py (CSV to ChromaDB ingestion script)
- data/bariatric_program_faq.csv (patient knowledge base content)
- data/coordinator_guide.csv (coordinator workflow knowledge base)
- data/director_guide.csv (director metrics knowledge base)
- AIChatWidget.jsx (reusable floating chat component for all dashboards)
- server/routes/ai.js (Express proxy route to Python service)
- docker-compose.yml (ai-service block, ChromaDB named volume,
  service networking)
- tests/test_main.py (9 pytest tests for FastAPI layer)
- server/__tests__/ai.test.js (13 Jest tests for Express route)
- ai-service/README.md (full setup documentation Mac/Linux/Windows)</t>
  </si>
  <si>
    <t>Modified</t>
  </si>
  <si>
    <t>All AI-generated code was reviewed line by line before committing.
Key modifications made:
1. Prompt templates — AI draft was too verbose; shortened patient
   responses to 2-3 sentences, removed name repetition, changed
   director prompt to use plain dashes instead of markdown asterisks
2. rag.py retriever — AI generated a duplicate retriever block that
   overwrote the role-filtered one; identified and removed manually
3. CSV knowledge base content — AI generated generic bariatric content;
   reviewed and edited every row to match BariatricPath's specific
   field names (insurance, visitType), workflow, and acceptance criteria
4. Docker networking — AI initially used localhost:8000 for AI_SERVICE_URL;
   corrected to http://ai-service:8000 after understanding Docker
   service-name networking
5. Jest DB fallback test — AI used mockRejectedValue which broke
   verifyAuth middleware; fixed to mockResolvedValueOnce for auth
   call then mockRejectedValueOnce for route DB call
6. Windows README section — added after Kolya's PR review feedback
   requesting winget + pyenv-win installation instructions
Confidence in final output: High. All 9 pytest tests and 13 Jest
tests passing. Manually verified via curl and browser for all
three roles (PATIENT, COORDINATOR, PROGRAM_DIRECTOR).</t>
  </si>
  <si>
    <r>
      <rPr/>
      <t xml:space="preserve">Branch: feature/fatimah-ai-service
PR: feature/fatimah-ai-service → dev
Key prompts used:
- "Design a FastAPI RAG microservice for a bariatric care platform
  with role-based prompts for patient, coordinator, and director"
- "Write pytest tests for FastAPI endpoints using unittest.mock.patch
  to mock OpenAI without making real API calls"
- "Fix Docker Compose so the Express backend can reach the Python
  AI service by service name not localhost"
- "Update README to include Windows Python 3.11 installation using
  winget and pyenv-win per team reviewer feedback"
</t>
    </r>
    <r>
      <rPr>
        <b/>
        <sz val="12.0"/>
      </rPr>
      <t>All prompts, raw AI outputs, and human modifications tracked in
individual weekly progress report Week 5 column O.</t>
    </r>
  </si>
  <si>
    <r>
      <rPr>
        <b/>
      </rPr>
      <t>Google Antigravity</t>
    </r>
    <r>
      <rPr/>
      <t xml:space="preserve">; AI-enabled coding IDE to assist with building framework and bug fixes. </t>
    </r>
  </si>
  <si>
    <t>WEEK 6 (Iteration 3)</t>
  </si>
  <si>
    <t>06/11 - 06/16</t>
  </si>
  <si>
    <t>CI/CD security pipeline: .github/workflows/codeql.yml, trivy.yml, zap.yml Final iteration presentation deck (29 slides) - pptxgenjs build scripts Code walkthrough video slides (6 slides) - registration/auth, RBAC, AI chat, RAG algorithm, CI/CD</t>
  </si>
  <si>
    <t>Generated workflow YAML reviewed against our actual service ports/Dockerfiles; fixed a permissions bug (zap-reports directory needed chmod -R 777 before docker run) that AI's first version didn't account for; verified each workflow green incrementally before adding the next rather than committing all at once AI generated slide layout/content scaffolding (pptxgenjs code) across requirements, architecture, security, AI, deployment sections; all factual content (Jira metrics, coverage numbers, ZAP results) supplied by team and verified against source screenshots/reports; multiple visual QA passes to fix overflow/overlap issues in ERD and sequence diagrams AI drafted explanatory talking points and selected/trimmed real code snippets from auth.js, verifyAuth.js, ai.js, rag.py, ci.yml for slide-sized excerpts; snippets condensed from</t>
  </si>
  <si>
    <t>Prompt summary: configure CodeQL SAST, Trivy container/secret scanning, and OWASP ZAP DAST against the FastAPI AI service for a Node/Python/Docker monorepo. Output: 3 workflow files + ZAP baseline scan config Prompt summary: build a 29-slide final iteration deck in BariatricPath brand colors covering all SPPP-required sections, with editable native PowerPoint diagrams (use case, ERD, sequence diagram) Prompt summary: create code walkthrough slides for 5 implementation areas, each with a representative code snippet and a numbered explanation a presenter can read from</t>
  </si>
  <si>
    <t>06/09 - 06/16</t>
  </si>
  <si>
    <t>Patient Detail Page Bug Fixes
Test Inventory and Coverage Audit
Dashboard Documentation Updates
Search Bar UI Fix
PR Summaries</t>
  </si>
  <si>
    <t xml:space="preserve">I evaluated all the generated code line by line to understand it and make sure it made sense for the project and the specific features that I was working on. 
It was helpful for debugging the issue with the status badge and for taking care of a quick UI fix.
It was helpful for doing an inventory of tests and creating descriptions of UI. I evaluated by reading through it.
</t>
  </si>
  <si>
    <r>
      <rPr/>
      <t xml:space="preserve">AI Generated Summary of </t>
    </r>
    <r>
      <rPr>
        <color rgb="FF1155CC"/>
        <u/>
      </rPr>
      <t>My AI Log</t>
    </r>
    <r>
      <rPr/>
      <t>:
AI Usage Summary — June 9th through June 16th, 2026
Tool: Claude Code (claude-sonnet-4-6)
June 11 — Patient Detail Page Bug Fixes (6 prompts)
Three bugs on the patient detail page were diagnosed and fixed. AI identified and resolved: (1) 'not booked' displaying as raw grey text instead of "Not Started" — fixed by changing the initialization value in patients.js to 'not complete' and updating test assertions; (2) the ClinicalChecklist dropdown defaulting to the wrong option for patients with a 'not booked' consult — fixed by adding a normalizeValue helper in ClinicalChecklist.jsx; (3) all status badges rendering grey — fixed by adding 'not booked' to StatusBadge.jsx's color maps and making the specialist lookup case-insensitive. AI also created 18 Vitest unit tests for ClinicalChecklist.jsx across four test groups (rendering, initialization, interaction, save behavior), all passing. Usage pattern: debugging and test authoring. AI contribution was high — root cause diagnosis, all code changes, and all test cases.
June 15, Session 1 — Test Inventory and Coverage Audit (10 prompts)
AI produced an AI usage summary covering June 2–7 (five sessions, key decisions, and contribution levels). It then scanned server/__tests__, client/src/__tests__, and ai-service/tests to generate a full test inventory (file name, case count, brief notes) and wrote it to the Test Inventory document. AI identified 5 new client-side test files that had been missed in the initial scan and updated the inventory. It also classified all test files as unit or integration tests and explained the rationale for each. Usage pattern: documentation and analysis. AI contribution was high — all scanning, classification, and document writing.
June 15, Session 2 — Dashboard Documentation Updates (3 prompts)
AI created director-dashboard-description.txt by reading all director dashboard components (DirectorDashboard.jsx, ReadOnlyBanner.jsx, PatientMetrics.jsx, AIChatWidget.jsx, SearchBar.jsx), documenting four sections: read-only banner, patient metrics panel, patient list (with sort enabled, row navigation disabled), and AI chat widget. It then updated the coordinator dashboard description to document the new sort dropdown (seven options, default Newest registered) and patient count line. Usage pattern: documentation generation. AI contribution was high — all content authored from code reading.
June 15, Session 3 — Search Bar UI Fix (4 prompts)
AI fixed unequal widths between the search input, specialist filter, and insurance status filter in SearchBar.jsx. It changed the column classes so all three use col-sm-4 and removed a maxWidth: 900 constraint so they stretch to fill the full container. A PR summary was provided. Usage pattern: UI bug fix. AI contribution was high — diagnosis and code change.
June 15, Session 4 — Miscellaneous (4 prompts)
AI retrieved the PR summary for the June 11 patient detail page fixes. It then briefly added 'not booked' to CHECKLIST_OPTIONS in ClinicalChecklist.jsx and removed the normalizeValue helper before the user asked to undo those changes, which were reverted in full. Usage pattern: reference retrieval and exploratory change (reverted). AI contribution was high.
Overall pattern for the period: AI was used primarily for bug fixing, test authoring, documentation generation, and code analysis. All code changes and document content were AI-authored based on user-defined requirements and acceptance criteria. Human contributions were requirements definition, testing decisions, and final approval or rejection of changes.</t>
    </r>
  </si>
  <si>
    <t>Claude</t>
  </si>
  <si>
    <t>Assisted with director dashboard debugging and creating necessary components as well as adjusting existing components ; developed automated unit tests; Assessed failed infrastructure test</t>
  </si>
  <si>
    <t>Evaluated all code given to me and verified, most of it was functional and correct. For the read-only addition to the searchBar componenet, original suggestion was too complicated and I proposed a better layout to minimize code changes which it helped me finalize and I then implemented. Unit tests were not coverign all of the edge cases so I prompted for more specific ones</t>
  </si>
  <si>
    <t>Prompt summary: I am creating a adashboard wiht thes components, I have a component that needs to be read-only. How can i adjust this component (provided) so that i can include an optional disableClick input that will make it so the entire patient table is read only and cannot be clicked? change no function other than enabling or disabling, where editable is the default. 
Output summary: provided changes for the searchBar component
Prompt Summary : Develop vitest test cases that cover the director dashboard rendering, read only mode (for director and edit still available for coordinator) and the patient metrics page. Make sure all calculations are correct for the patient metrics component and nothing will crash when there are zero patients in the list. 
Output summary: Gave me a suite of tests for all of the given cases. (I then reprompted for a few more specific ones like checking that metrics updates when coordinator updates patient info)
Prompt Summary: I have the following failed infrastructure test. I would like to confirm that this is no longer failing as our project is not deployed. Give me the tests to assess the visibility of the .env files in the deployment
Output summary: step by step how to check that .env file is no longer visible due to deployment</t>
  </si>
  <si>
    <r>
      <rPr>
        <b/>
      </rPr>
      <t>Gemini Notebook ML:</t>
    </r>
    <r>
      <rPr/>
      <t xml:space="preserve"> Used to design a speific learning path for myself for knowledge points and skills required for this iteration
</t>
    </r>
    <r>
      <rPr>
        <b/>
      </rPr>
      <t>Google Antigravity 2.0:</t>
    </r>
    <r>
      <rPr/>
      <t xml:space="preserve"> AI-enabled coding IDE to assist with building framework and bug fixes. </t>
    </r>
  </si>
  <si>
    <t>Shaima Nimeri</t>
  </si>
  <si>
    <t>06/09-06/16</t>
  </si>
  <si>
    <r>
      <rPr/>
      <t xml:space="preserve">After deployment frontend 
cant reach backend
Draft team message about
HTTPS warning
Update final release </t>
    </r>
    <r>
      <rPr>
        <color rgb="FF1155CC"/>
        <u/>
      </rPr>
      <t>Readme.md</t>
    </r>
  </si>
  <si>
    <t>Rejected
Accepted with modifications
Accepted with modifications</t>
  </si>
  <si>
    <r>
      <rPr/>
      <t xml:space="preserve">AI suggested backend is blocked by 
firewall with is not true. The problem
was URL in docker-compose.yaml
which caused CORS issues
AI drafted messged about HTTPS warning
do to self certificate
</t>
    </r>
    <r>
      <rPr>
        <color rgb="FF1155CC"/>
        <u/>
      </rPr>
      <t>Readme.md</t>
    </r>
    <r>
      <rPr/>
      <t xml:space="preserve"> was reviewed and some edits made</t>
    </r>
  </si>
  <si>
    <t xml:space="preserve">After deployment front end cant reach backend
The frontend is working but port  (the backend API) is blocked by
   the firewall. Run this on the droplet to open it:
  ufw allow backend port
  ufw allow AI port
  ufw status
I am using self certicated for HTTPS and I  want to send a 
message tomy team members to not 
be alarmed by the warning  
 When you open it in the browser you will see a security warning saying "Your connection is not private." This is expected  we are using a self-signed
  certificate instead of a paid one. To get past it:
Chrome: click "Advanced" then "Proceed to 67.205.191.149 (unsafe)"
Firefox: click "Advanced" then "Accept the Risk and Continue"
  The app is fully functional once you proceed past the warning. Let me know if you have any issues accessing it.
I want to update Reamd.md to include deployment info app deployed on digital ocean droplet using docker container the app uses https with self certificate , it has a chatbot and the url for the app is  https://67.205.191.149/login
This is the last release and these are the contents of the current Readme.md file
</t>
  </si>
  <si>
    <t>This sheet need to be filled by the end of the semester. You should clearly describe your contribution to 
the group project in each category in the whole semester.</t>
  </si>
  <si>
    <t xml:space="preserve">StudentName </t>
  </si>
  <si>
    <t>SPPP Document</t>
  </si>
  <si>
    <t>Requirement Analysis on Jira</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</si>
  <si>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</si>
  <si>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</si>
  <si>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</si>
  <si>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</si>
  <si>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</si>
  <si>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</si>
  <si>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</si>
  <si>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</si>
  <si>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Kolya Gavlishin</t>
  </si>
  <si>
    <t>SDD: Wrote the database section and parts of the UI sections on the coordinator and director dashboards</t>
  </si>
  <si>
    <t xml:space="preserve">Updated 
section 1.2, what was tested, 
Section 1.6: # of unit tests
Updated number of unit tests
Added manual tests for coordinator dashboard features
Updated 4.2: Test pass rate
Updated 4.3: Test Coverage
Updated 4.4: Defect Metrics
Updated Manual Tests for my specific story
Updated 1.6 &amp; 4.1: Test Inventory and Test Result Summary with automated tests
Updated number of test cases, coverage, pass rate, and test inventory throughout document
</t>
  </si>
  <si>
    <t>Iteration 0 slides and presentation
Iteration 2 slides and presentation with demo
Iteration 3 slides, presentation, code walkthrough, demo</t>
  </si>
  <si>
    <t xml:space="preserve">1. BARI-15: Coordinator dashboard that displays patient data on a table. 
Features search by name, DOB, and MRN along with filters by insruance status and specialist type.
2. BARI-16: Coordinator Dashboard - Patient filtering by insurance status or specialist, searching by name, MRN, or DOB, progress calculation
3. BARI-21: Update Insurance Column:
4. BARI-22: Update Clinical Order:
For these last two stories, I created the Patient Detail page which the coordinator uses to update the patient's insurance status and clinical checklists. The coordinator can click on each patient to navigate to their specific page and then update their status.
</t>
  </si>
  <si>
    <t>Created or contributed to 10 test suites
Closed 12 PRs
Closed 2 GH issues
Manual tests on my feature branches and on PRs to ensure accpetance tests are met</t>
  </si>
  <si>
    <t>Attended all meetings and active on discord
Took minutes 2 times</t>
  </si>
  <si>
    <t>Kai Fernandes</t>
  </si>
  <si>
    <t>Configuration management plan, Risk management plan, general restructuring of SPPP (deleting directions, normalizing format)</t>
  </si>
  <si>
    <t>Analyzed overlap between user stories and redelegated tasks</t>
  </si>
  <si>
    <t>Wrote Class Diagrams section and introduction</t>
  </si>
  <si>
    <t>Updated 1.2 - Added missing test files with descriptions, added director dashboard tests
Added 2.2.1 Infrastrusture testing section
Added 2.2.6 for Patient Portal tests for BARI-20
Added 2.2.7 for Director Dashboard test BARI-25 and BARI-28
Added iteration 3 total test output in 3.1.6
Updated paths throughout document after folder restructuring
Updated number of total and client test cases throughout document
Updated defects and process metrics</t>
  </si>
  <si>
    <t>Iteration 0 slides and presentation
Iteration 3 presentation and code walkthrough</t>
  </si>
  <si>
    <t>BARI-11 : BMI calculation component and page
BARI-13 : Eligibility based on BMI calculation, routing to correct page
BARI-19 : Styling Notifications for patient checklist updates
BARI-20 : Surgery Cleared banner shows on patient portal when conditions are met for patient
BARI-25 (overlapped with BARI-28) : Made Director Dashboard page including Read only banner component, updating the searchbar component to include a read only mode; made patient metrics component to display metrics (BARI-28)</t>
  </si>
  <si>
    <t>Manual infrastructure smoke tests 
Automated unit testing and manual testing for bmi calculation and bmi ineligible pages
Automated unit testing and manual testing for Director Dashboard and relevant components</t>
  </si>
  <si>
    <t>Making agenda for meetings and keeping team on track, as well as keeping minutes; Ensuring documentation is consistent and up to course standards; Sending reminders to teammated about documentation; Creating github releases and blackboard submissions</t>
  </si>
  <si>
    <t xml:space="preserve">Detailized and defined new patient registration page flow and routing between pages. </t>
  </si>
  <si>
    <t>Design Pattern Section</t>
  </si>
  <si>
    <t>- Iteration 1 presentation slides
- Iteration 2 presentation slides and demo video
- Iteration 3 presentation slides, code review slides and final demo video</t>
  </si>
  <si>
    <t>BARI 12, 14, 17, 18, 26, 27, 28: 
- BMI specialist recommendation page;
- Confirmation page and automated email;
- Patient Portal page including title, progress bar, checklist, notification, Cleared label and help section. 
- Patient portal automatic update;
- Director dasbaord including summary and checklist;
- Checklist sorting function for both director dasboard and coordinator dashboard</t>
  </si>
  <si>
    <t xml:space="preserve">13 backend Jest unit tests + 28 front end tests; Combined total to 41 automated unit tests.
Multiple manual testing everytime during development. </t>
  </si>
  <si>
    <t>Nodemailer setup for automated confirmation email</t>
  </si>
  <si>
    <t>Attended all meetings after iteration 0, and active on discord
Took meeting minutes 1 time. Reviewd and provided feedbakc for 2 PR</t>
  </si>
  <si>
    <t>Fatimah Hassan</t>
  </si>
  <si>
    <t>Authored Section 6 (QA Plan).  Contributed to risk management section (security risks, threat model entries) in the SPPP Risk Management document.</t>
  </si>
  <si>
    <t>Wrote and refined user stories for security-related and auth-related features (e.g. BARI-7 registration, BARI-9 logout, BARI-261 forgot password, BARI-156 privacy policy/consent), including Given/When/Then acceptance criteria.</t>
  </si>
  <si>
    <t>Contributed the security architecture sections: defense-in-depth model, RBAC design, AI microservice network isolation design, and the AI chat request sequence diagram.</t>
  </si>
  <si>
    <t>Documented the CI/CD test pipeline (Jest/Vitest/pytest integration into GitHub Actions), the security testing strategy (SAST/DAST), and ZAP scan results/interpretation.</t>
  </si>
  <si>
    <t>Authored the full final iteration presentation deck (29 slides: requirements, architecture, security, AI, deployment, project management). Presenting the Security and AI sections live. Also authored and presenting the Code Walkthrough video covering Registration/Auth, RBAC, AI Chat Assistant, RAG algorithm, and CI/CD.</t>
  </si>
  <si>
    <t>Implemented authentication routes and atomic registration transaction (server/routes/auth.js), verifyAuth and requireRole RBAC middleware (server/middleware/verifyAuth.js), ProtectedRoute (client),  Forgot Password flow (ForgotPassword.jsx, Firebase reset email), Privacy Policy page and consent checkbox on registration, AI chat proxy route (server/routes/ai.js) including patient-context enrichment and graceful DB fallback, and refactoring of ai-service/rag.py to remove magic numbers (MEMORY_WINDOW_SIZE, RETRIEVAL_TOP_K).</t>
  </si>
  <si>
    <t>Wrote Jest/Supertest tests for auth routes and AI proxy route (server/tests), including correct mock ordering for verifyAuth + DB mocks. Manually tested registration, login, logout, password reset, and AI chat flows across all three roles each sprint per acceptance criteria.</t>
  </si>
  <si>
    <t>Configuration Co-Lead: set up and maintained Docker Compose orchestration for all 4 services, environment variable/secrets management, and Python 3.11 pinning for the AI service (resolved pydantic-core/PyO3 incompatibility with 3.13). Built and incrementally verified the entire CI/CD security pipeline (CI tests, CodeQL SAST, Trivy container/secret scanning, OWASP ZAP DAST) - all required green before merge to dev.</t>
  </si>
  <si>
    <t>Coordinated security review checklist for PRs touching auth/security (Security Lead is assigned reviewer per team convention). Raised and tracked the IDOR/object-level access control gap with the team via Discord. Communicated Iteration 2 professor feedback items and helped scope the team's response (E2E testing deprioritization, documentation prioritization).</t>
  </si>
  <si>
    <t>Maintained the AI-Usage Summary header convention ([AI]/[HYBRID]/[HUMAN] tags) across files I touched, in line with Conventional Commits. Authored the ai-service README covering setup on Mac/Linux/Windows, testing, and memory limitations</t>
  </si>
  <si>
    <t xml:space="preserve">Did the first 4 sections of SPP </t>
  </si>
  <si>
    <t>Created all User Stories implement in 
the project on Jira and all Acceptance tests
and implementation details
Created 3 sprints and set the sprints deadlines
At the end of each iteration closed the 
Previos iterations and used the Jira 
board to move the status of Stories from
not started ton inporgress to in review to done
Created Icebox for lab2 to be used by team
members</t>
  </si>
  <si>
    <t>Created sequence diagrams and state
diagrams and added desgin patterns section</t>
  </si>
  <si>
    <t>Wrote the automated testing section for 
BARI-24 StatusBadj  and all backend routes
And described tests perfromed in assigned
PR reviews</t>
  </si>
  <si>
    <t>Created the sequence diagrams, entity
relatieonship diagram,
state diagram, for the project architecture
and presented those slides, Edited the 
Deployment slide to reflect 5 services and 
correct ports used in the project and presented 
it. 
In the code walkthough created and 
presented the slides for 
statusBadje, notifications, backendroutes, 
and deployment.</t>
  </si>
  <si>
    <t>Created the project structure to be 
used by the team replaced the default Vite starter 
with the actual app structure. I set up React Router 
with four routes  one for each user role 
and created the page component stubs
 so the team had a foundation to build on.
and added the code to github main branch for team inital pull
Designed the schema fo the project
Created and updated  database on Supabase to add table relations
performed 9 PR reviews including running the 
code provided for testing and submitting feed back with fixes
Updated .env for client, server and docker files and shared
 structure with team members and 
 fixed confuration of Docker-compose.yml to connect to
 database and fixed issues in code to make sure .env get used 
Fixed BARI-11 and BARI13 bmi calculator 
and not eligable page
Added dateofbirth to registration page
Provided project logo
Performed code intergation from different user stories and merged to main
Impelemted all backend routes used by user stories
 BARI-17 BARI-18 BARI-19
 BARI 20 BARI-21 BARI-22
 BARI-23 BARI-25 BARI-26
 BARI-27 and BARI-28
Impeleneted StatusBadj.jsx component used in
 BARI-17 BARI-18 
BARI-19  BARI-20 
BARI-22 BARI-23 
 BARI-25 BARI-26
 BARI-27 BARI-28 
Impleented BARI-24 and all tests for it
Implemented Auditlog function
Deployed project using HTTPS
 and did all configuration related work</t>
  </si>
  <si>
    <t>DId all the autimated testing for backend
routes implement and for BARI-24 
and perfromed manual testing for PRs 
from other team members</t>
  </si>
  <si>
    <t xml:space="preserve">Deployed the app using HTTPS on Digital
Ocean droplet using self certificate
Created Nginx docker container and did
all the configuration in the droplet </t>
  </si>
  <si>
    <t>At the begining of each iteration I create a 
detailed schedule for the team membes 
and divide tasks in a way that would 
lead to the least blockage. I am active 
on discord to answer team members 
questions. I do final merge to main and 
manually test at the end of each release. 
I update Jira at the beginning of each 
iteration</t>
  </si>
  <si>
    <r>
      <rPr>
        <rFont val="Arial"/>
        <b/>
      </rPr>
      <t>Your Lead Roles</t>
    </r>
    <r>
      <rPr>
        <rFont val="Arial"/>
      </rPr>
      <t>: Security lead and  Configuration Co-lead</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</si>
  <si>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</si>
  <si>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</si>
  <si>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</si>
  <si>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</si>
  <si>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</si>
  <si>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</si>
  <si>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</si>
  <si>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</si>
  <si>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</si>
  <si>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</si>
  <si>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</si>
  <si>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05/10 - 05/14</t>
  </si>
  <si>
    <t>0 - Watched intro RAG videos, read LangChain.js docs, started AI/LLM learning plan
1 - Participated in team brainstorm on project idea; contributed Patient Pathway AI proposal combining workflow + RAG
2 - Reviewed proposed system architecture (React + Express + LangChain.js + ChromaDB + PostgreSQL)
5 - Posted class introduction on Discord; coordinated with team on Discord; discussed scope boundary
6 - Lab 1: configured Git, cloned team repo, created lab1 branch, edited team.md, pushed PR
7 - Drafted Section 6 (Quality Assurance Plan) of the SPPP</t>
  </si>
  <si>
    <t>Used Claude to:  (1) brainstorm 
and stress-test project topic options, (3) explain LangChain.js trade-offs 
vs Python for our backend choice, (4) draft Section 6 (QA Plan) structure 
and exam-prep companion. Verified all suggestions, adjusted to my voice 
and team context. Useful for accelerating drafting; verification still 
required for accuracy and team fit.</t>
  </si>
  <si>
    <t>1. Lab 1 completed: lab1 branch pushed with team.md introduction.
2. Project topic proposal contributed (Patient Pathway AI: workflow + RAG); 
   accepted by team.
3. Section 6 (QA Plan) drafted for the SPPP, including metrics, coding 
   standards, code review checklist, testing strategy, defect management.
4. Volunteered for Security Lead role with Configuration Co-Lead support.</t>
  </si>
  <si>
    <t>1. Backend choice (Express + LangChain.js) is less mature than Python 
   for AI work --- tutorial coverage and ecosystem are weaker; risk of 
   friction during RAG implementation.
2. Team is still waiting on confirmation of one teammate (Jianing); 
   role assignments not finalized.
3. New to RAG, embeddings, and vector databases — learning curve 
   ahead of Iteration 1.</t>
  </si>
  <si>
    <t>1. Risk documented in SPPP Section 4.b. Fallback plan: pivot to Express 
   + small Python AI microservice (Option B) if LangChain.js friction 
   appears in Iter 1 Week 1.
2. Executing structured 4-week AI learning plan: DeepLearning.AI LangChain 
   course, RAG tutorial, hands-on PDF Q&amp;A build before Iter 1 starts.</t>
  </si>
  <si>
    <t>0 - Continue LangChain.js + RAG learning (DeepLearning.AI course, PDF 
    chat tutorial)
2 - Help finalize architecture diagram and threat model for FR-1 (login)
5 - Attend team meeting; help finalize SPPP and submit Iteration 0 release
6 - As Configuration Co-Lead: set up branch protection, basic GitHub 
    Actions CI workflow, .gitignore, PR template
6 - As Security Lead: add npm-audit + CodeQL workflow to CI
7 - Final review of SPPP before submission</t>
  </si>
  <si>
    <t>~12</t>
  </si>
  <si>
    <t>WEEK 2</t>
  </si>
  <si>
    <t>05/14 - 05/19</t>
  </si>
  <si>
    <t>~ 14</t>
  </si>
  <si>
    <t>0 - Continued LangChain/RAG learning; researched Firebase + JWT integration patterns</t>
  </si>
  <si>
    <t>1 - Reviewed Lab 2 requirements; refined Authentication user stories (INVEST + acceptance tests)</t>
  </si>
  <si>
    <t>2 - Designed the auth architecture (Firebase Auth + Express token verification); created entity class diagram</t>
  </si>
  <si>
    <t>3 - Implemented BARI-7 (patient registration) and BARI-9 (logout): register/login/me endpoints, verifyAuth + requireRole middleware, RegisterPage, LoginPage, Navbar, AuthContext, ProtectedRoute</t>
  </si>
  <si>
    <t>Used Claude tand ChatGpt o: troubleshoot the Prisma schema error (invalid "Enum" type),</t>
  </si>
  <si>
    <t>1. Implemented BARI-7 (patient registration) and BARI-9 (logout) — register,</t>
  </si>
  <si>
    <t>1. schema.prisma on dev had invalid "Enum" types — blocked prisma generate for</t>
  </si>
  <si>
    <t>1. Fixed the schema back to "String"; flagged to the team in Discord; included</t>
  </si>
  <si>
    <t>1- Address PR review feedback from Shaima; help integrate auth into protected routes</t>
  </si>
  <si>
    <t>4 - Functional testing of the auth flow (registration, login, logout, role redirect, session persistence)</t>
  </si>
  <si>
    <t>debug the API port mismatch (5001 vs 3000), structure the Firebase + Express</t>
  </si>
  <si>
    <t>login, /me endpoints with Firebase token verification, plus verifyAuth and</t>
  </si>
  <si>
    <t>the whole team until corrected to "String".</t>
  </si>
  <si>
    <t>the fix in my PR. Suggested adding a CI step that runs prisma generate so a</t>
  </si>
  <si>
    <t>2 - Write Jest + Supertest unit/integration tests for the auth endpoint</t>
  </si>
  <si>
    <t>5 - Coordinated with team on Discord; shared Firebase credentials; discussed schema fix</t>
  </si>
  <si>
    <t>auth implementation, design the verifyAuth/requireRole middleware, and review</t>
  </si>
  <si>
    <t>requireRole middleware for protected routes.</t>
  </si>
  <si>
    <t>2. API port mismatch (frontend calling 5001, backend on 3000) caused /auth/me</t>
  </si>
  <si>
    <t>broken schema can't reach dev again.</t>
  </si>
  <si>
    <t>3 - As Config Co-Lead: set up GitHub Actions CI (lint, test, prisma generate, npm audit</t>
  </si>
  <si>
    <t>6 - Configured .gitignore/.dockerignore; created server &amp; client Dockerfiles and docker-compose.yml; set up local PostgreSQL</t>
  </si>
  <si>
    <t>the auth UI. Also used it to clarify which npm packages were actually needed</t>
  </si>
  <si>
    <t>2. Built the auth frontend: RegisterPage, LoginPage, Navbar, AuthContext,</t>
  </si>
  <si>
    <t>to 404 and bounced users back to login.</t>
  </si>
  <si>
    <t>2. Corrected VITE_API_URL to port 3000 and restarted Vite — resolved.</t>
  </si>
  <si>
    <t>4 - As Security Lead: add CodeQL workflow; document STRIDE threat model for login</t>
  </si>
  <si>
    <t>7 - Worked on Lab 2 document; created Jira user stories</t>
  </si>
  <si>
    <t>(skipped jsonwebtoken/bcryptjs since Firebase handles those). All code was</t>
  </si>
  <si>
    <t>ProtectedRoute, with Google sign-in and role-based redirect.</t>
  </si>
  <si>
    <t>3. Firebase project is under my personal Google account — team needs a</t>
  </si>
  <si>
    <t>3. Shared Firebase credentials via the team Drive; offered Console access to</t>
  </si>
  <si>
    <t>5 - Iteration 1 demo prep and team coordination</t>
  </si>
  <si>
    <t>reviewed line by line, tested manually, and adapted to our Prisma schema and</t>
  </si>
  <si>
    <t>3. Fixed a build-breaking schema error (invalid "Enum" type) blocking the team.4. Created the project Docker setup (server/client Dockerfiles, docker-compose).5. Completed Lab 2 user stories in Jira and the Lab 2 document.6. Opened a PR (feature/fatimah-patient-crud → dev), assigned Shaima as reviewer.</t>
  </si>
  <si>
    <t>long-term plan for shared ownership.</t>
  </si>
  <si>
    <t>teammates. Will revisit shared ownership before deployment.</t>
  </si>
  <si>
    <t>WEEK 3</t>
  </si>
  <si>
    <t>architecture before committing.</t>
  </si>
  <si>
    <t>05/19 - 05/26</t>
  </si>
  <si>
    <t>13 - 14</t>
  </si>
  <si>
    <t>0 - Continued learning: studied Jest/Supertest testing patterns, reviewed</t>
  </si>
  <si>
    <t>Shaima's backend routes (StatusBadge, PATCH patients endpoints)</t>
  </si>
  <si>
    <t>Used Claude and ChatGPT to: design the polling useEffect pattern with</t>
  </si>
  <si>
    <t>1. Implemented BARI-23: PatientPortal.jsx with automatic 30-second</t>
  </si>
  <si>
    <t>1. Vitest globals (vi) not recognized — ESLint config missing jest globals,</t>
  </si>
  <si>
    <t>1 - Requirement analysis: analyzed BARI-23 (patient portal auto-update)</t>
  </si>
  <si>
    <t>cleanup (clearInterval on unmount), debug Vitest vs Jest differences</t>
  </si>
  <si>
    <t>notification polling — patients see coordinator updates without</t>
  </si>
  <si>
    <t>resolved by adding globals.jest to eslint.config.js</t>
  </si>
  <si>
    <t>and BARI-156 (privacy policy) acceptance criteria</t>
  </si>
  <si>
    <t>(vi.mock vs jest.mock), structure the PatientPortal component, fix the</t>
  </si>
  <si>
    <t>manual refresh</t>
  </si>
  <si>
    <t>2. Vitest module mock format differs from Jest — vi.mock requires</t>
  </si>
  <si>
    <t>2 - Designed PatientPortal component structure: polling architecture,</t>
  </si>
  <si>
    <t>Prisma PATCH route. All generated code reviewed line by line, tested</t>
  </si>
  <si>
    <t>2. Fixed notifications route PATCH /:id/read (was returning placeholder</t>
  </si>
  <si>
    <t>{ default: ... } wrapper for default exports</t>
  </si>
  <si>
    <t>notification state management, patient status card layout</t>
  </si>
  <si>
    <t>manually, and adapted to match existing project patterns and AuthContext.</t>
  </si>
  <si>
    <t>string, now updates Prisma and returns real data)</t>
  </si>
  <si>
    <t>3. Branch diverged from dev after Shaima's merge — resolved with</t>
  </si>
  <si>
    <t>3 - Implemented BARI-23 frontend: PatientPortal.jsx with 30s polling,</t>
  </si>
  <si>
    <t>3. Reviewed and approved Kolya's PR for BARI-22</t>
  </si>
  <si>
    <t>git pull origin dev --no-rebase</t>
  </si>
  <si>
    <t>notification rendering, mark-as-read functionality</t>
  </si>
  <si>
    <t>4. Pulled Shaima's Sprint 2 backend routes into working branch</t>
  </si>
  <si>
    <t>3 - Fixed PATCH /api/notifications/:id/read from placeholder to full</t>
  </si>
  <si>
    <t>Prisma implementation</t>
  </si>
  <si>
    <t>5 - Pulled from dev, resolved divergent branch merge with Shaima's routes</t>
  </si>
  <si>
    <t>7 - Reviewed Kolya's PR (review-kolya-bari22 branch)</t>
  </si>
  <si>
    <t>WEEK 4</t>
  </si>
  <si>
    <t>~13</t>
  </si>
  <si>
    <t>0 - Learned about privacy/consent requirements for healthcare apps;</t>
  </si>
  <si>
    <t>Used Claude and ChatGPT to: structure the privacy policy content for a</t>
  </si>
  <si>
    <t>1. Implemented BARI-156: Privacy policy page (/privacy-policy) with</t>
  </si>
  <si>
    <t>1. Test setup file path mismatch — vite.config.js pointed to</t>
  </si>
  <si>
    <t>0 - Start AI service implementation (RAG pipeline with LangChain.js</t>
  </si>
  <si>
    <t>reviewed HIPAA-adjacent patterns for patient data disclosure</t>
  </si>
  <si>
    <t>healthcare coordination platform, design the card-based layout for</t>
  </si>
  <si>
    <t>6 sections covering data collection, usage, security, patient rights,</t>
  </si>
  <si>
    <t>src/test/setup.js but file was in different location; resolved</t>
  </si>
  <si>
    <t>or Python + ChromaDB)</t>
  </si>
  <si>
    <t>1 - Analyzed BARI-156 requirements: privacy policy must be reviewable</t>
  </si>
  <si>
    <t>PrivacyPolicyPage, write Vitest test cases for polling behavior using</t>
  </si>
  <si>
    <t>disclaimer, and contact</t>
  </si>
  <si>
    <t>by creating correct directory</t>
  </si>
  <si>
    <t>3 - Build POST /api/ai/chat endpoint connecting to AI service</t>
  </si>
  <si>
    <t>before registration, consent must be captured</t>
  </si>
  <si>
    <t>vi.useFakeTimers and vi.advanceTimersByTime, debug mock factory patterns</t>
  </si>
  <si>
    <t>2. Added required consent checkbox to registration — patients must</t>
  </si>
  <si>
    <t>2. Navbar mock in Vitest requires { default: () =&gt; ... } format —</t>
  </si>
  <si>
    <t>3 - Integrate AI chat UI into patient portal</t>
  </si>
  <si>
    <t>2 - Designed PrivacyPolicyPage layout: section card structure,</t>
  </si>
  <si>
    <t>for Vitest (vi.mock with default exports). All content reviewed and</t>
  </si>
  <si>
    <t>acknowledge policy before creating account</t>
  </si>
  <si>
    <t>Jest-style factory function does not work with Vitest ESM</t>
  </si>
  <si>
    <t>4 - Write tests for AI service endpoints</t>
  </si>
  <si>
    <t>public route, consent checkbox placement on registration form</t>
  </si>
  <si>
    <t>adapted to match BariatricPath's specific use case. Privacy policy</t>
  </si>
  <si>
    <t>3. 7 Vitest tests for PatientPortal covering all acceptance criteria</t>
  </si>
  <si>
    <t>3. Firebase config imported in PatientPortal needed to be mocked</t>
  </si>
  <si>
    <t>5 - Final PR and sprint 3 prep</t>
  </si>
  <si>
    <t>3 - Implemented BARI-156: PrivacyPolicyPage.jsx with 6 sections,</t>
  </si>
  <si>
    <t>content verified against project requirements before committing.</t>
  </si>
  <si>
    <t>from BARI-213 (30s polling verified with fake timers)</t>
  </si>
  <si>
    <t>in tests to prevent real connection attempt</t>
  </si>
  <si>
    <t>added required consent checkbox to RegisterPage.jsx,</t>
  </si>
  <si>
    <t>4. Opened PR: feature/fatimah-patient-crud → dev covering BARI-23</t>
  </si>
  <si>
    <t>added public route /privacy-policy to App.jsx</t>
  </si>
  <si>
    <t>and BARI-156</t>
  </si>
  <si>
    <t>4 - Wrote Vitest tests for PatientPortal (7 tests: polling, rendering,</t>
  </si>
  <si>
    <t>mark-read, empty state, unread badge count)</t>
  </si>
  <si>
    <t>4 - Added PATCH mark-as-read tests to notifications test suite</t>
  </si>
  <si>
    <t>5 - Opened PR for BARI-23 + BARI-156, assigned Kolya and Shaima as reviewers</t>
  </si>
  <si>
    <t>5 - Posted sprint update on Slack, coordinated with team on notification</t>
  </si>
  <si>
    <t>backend integration</t>
  </si>
  <si>
    <t>WEEK 5</t>
  </si>
  <si>
    <t>06/02 - 06/08</t>
  </si>
  <si>
    <t>~ 16</t>
  </si>
  <si>
    <t>~ 15</t>
  </si>
  <si>
    <t>0 - Completed DeepLearning.AI LangChain course (Memory module);
    studied RAG architecture, vector databases, and prompt engineering
1 - Analyzed AI feature requirements for all three roles (Patient,
    Coordinator, Program Director); defined role-based prompt behavior
2 - Designed AI microservice architecture: FastAPI + LangChain +
    ChromaDB + OpenAI; designed AIChatWidget component structure
3 - Built complete AI microservice (main.py, rag.py): FastAPI endpoints,
    role-based RAG pipeline, in-memory conversation history (last 7
    exchanges keyed by role_patientId), ChromaDB vector store
3 - Created three CSV knowledge bases (bariatric_program_faq.csv,
    coordinator_guide.csv, director_guide.csv) and load_data.py script
3 - Built reusable AIChatWidget.jsx floating chat component; integrated
    into PatientPortal, CoordinatorDashboard, PatientDetail, DirectorDashboard
3 - Implemented Express proxy route (server/routes/ai.js) connecting
    React frontend to Python service via authenticated endpoint
3 - Added AI service to docker-compose.yml with named ChromaDB volume
    (ai-chroma-data) and AI_SERVICE_URL service-name networking
4 - Wrote 9 pytest tests for FastAPI layer (test_main.py): health endpoint,
    all three roles, validation, error handling, default role behavior
4 - Wrote 13 Jest/Supertest tests for Express AI route (ai.test.js):
    happy paths, validation, auth, DB fallback, 502/500 error handling
5 - Responded to Kolya's PR review; updated README with Windows setup
    instructions (winget + pyenv-win) and full testing section
6 - Updated docker-compose.yml to include ai-service; added ChromaDB
    named volume; configured AI_SERVICE_URL for Docker service networking
7 - Wrote comprehensive ai-service README.md covering Mac/Linux/Windows
    setup, ChromaDB loading, testing instructions, production memory
    recommendations (Redis), architecture diagram, troubleshooting guide</t>
  </si>
  <si>
    <r>
      <rPr/>
      <t xml:space="preserve">Used Claude and ChatGPT to:
</t>
    </r>
    <r>
      <rPr>
        <color rgb="FF1155CC"/>
        <u/>
      </rPr>
      <t>Claude code</t>
    </r>
    <r>
      <rPr/>
      <t xml:space="preserve"> || </t>
    </r>
    <r>
      <rPr>
        <color rgb="FF1155CC"/>
        <u/>
      </rPr>
      <t>ChatGpt</t>
    </r>
    <r>
      <rPr/>
      <t xml:space="preserve">
1. Design the FastAPI + LangChain + ChromaDB microservice architecture;
   helped select Python 3.11 over 3.13 after diagnosing pydantic-core
   incompatibility with PyO3 bindings
2. Write role-based prompt templates for PATIENT, COORDINATOR, and
   PROGRAM_DIRECTOR — prompted to be concise (2-3 sentences for patient,
   professional steps for coordinator, plain-text bullet points for director)
3. Implement in-memory conversation history pattern (last 7 exchanges
   per session_key) and understand the production Redis alternative
4. Generate bariatric program FAQ content for the three CSV knowledge
   bases — all content reviewed and verified against actual project
   requirements before committing
5. Write pytest test suite using unittest.mock.patch and AsyncMock to
   mock OpenAI and ChromaDB — learned difference between mockRejectedValue
   (all calls) and mockRejectedValueOnce (specific call) when testing
   DB fallback behavior
6. Debug Docker networking — learned that services inside Docker Compose
   communicate by service name not localhost; updated AI_SERVICE_URL to
   </t>
    </r>
    <r>
      <rPr>
        <color rgb="FF1155CC"/>
        <u/>
      </rPr>
      <t>http://ai-service:8000</t>
    </r>
    <r>
      <rPr/>
      <t xml:space="preserve">
All generated code was reviewed line by line, tested manually via curl
and browser, and adapted to match existing project patterns (apiRequest
utility, verifyAuth middleware, AuthContext). AI usage logged in
individual weekly report and inline file-level SUMMARY comments.</t>
    </r>
  </si>
  <si>
    <t>1. Implemented complete AI microservice (BARI-AI):
   - FastAPI service with /health and /chat endpoints
   - RAG pipeline: ChromaDB vector retrieval + GPT-4.1-mini
   - Role-based prompts for PATIENT, COORDINATOR, PROGRAM_DIRECTOR
   - In-memory conversation memory (last 7 exchanges per session)
   - Three CSV knowledge bases with 41 total documents loaded
2. Integrated AI chat into four pages:
   - PatientPortal.jsx — floating chat widget, PATIENT role
   - CoordinatorDashboard.jsx — COORDINATOR role
   - PatientDetail.jsx — COORDINATOR role with patient context
   - DirectorDashboard.jsx — PROGRAM_DIRECTOR role
3. Express proxy route /api/ai/chat with Firebase auth and Prisma
   DB context merge (real patient data passed to AI service)
4. 22 automated tests total:
   - 9 pytest tests (FastAPI layer) — all passing
   - 13 Jest/Supertest tests (Express layer) — all passing
5. Docker integration: ai-service added to docker-compose with
   named volume for ChromaDB persistence and correct service
   networking for team deployment
6. Comprehensive README.md covering Mac, Linux, and Windows setup
   with Kolya's winget/pyenv-win instructions incorporated</t>
  </si>
  <si>
    <t>1. Python 3.13 incompatibility with pydantic-core — PyO3 bindings
   only support up to Python 3.12; resolved by installing Python 3.11
   via brew and recreating the venv
2. LangChain import deprecations — course materials used v0.x patterns;
   migrated to langchain-core modern API (langchain_core.prompts,
   langchain_core.runnables) for v0.3.x compatibility
3. Duplicate ChromaDB retriever in rag.py — role-filtered retriever
   was being overwritten by an unfiltered one on the next line;
   resolved by removing the duplicate assignment
4. Docker networking — AI service unreachable from backend using
   localhost:8000 inside Docker; resolved by setting
   AI_SERVICE_URL=http://ai-service:8000 in docker-compose.yml
5. Jest test for DB fallback returning 401 instead of 200 —
   mockRejectedValue broke verifyAuth's Prisma call too;
   fixed using mockResolvedValueOnce for auth then
   mockRejectedValueOnce for the route's DB call</t>
  </si>
  <si>
    <t>1. Python 3.13 issue — resolved, documented in README troubleshooting
2. LangChain imports — resolved, using langchain-core throughout
3. Duplicate retriever — resolved, rag.py cleaned up
4. Docker networking — resolved, docker-compose updated and pushed
5. Jest mock sequencing — resolved, 13/13 tests passing</t>
  </si>
  <si>
    <t>0 - Review sprint 3 requirements; study for final exam
3 - Address any remaining PR review feedback from Kolya/Shaima
3 - Merge feature/fatimah-ai-service to dev after approval
5 - Final sprint demo preparation; coordinate with team
7 - Complete final progress report and iteration documentation</t>
  </si>
  <si>
    <t>~ 10</t>
  </si>
  <si>
    <t>WEEK 6</t>
  </si>
  <si>
    <t>0- Discord coordination on Iteration 2 feedback items (E2E scoping decision, documentation prioritization given exam timeline)</t>
  </si>
  <si>
    <t>Tool: Claude (Anthropic)
Tasks this week: (1) drafting/configuring CI/CD security workflows (CodeQL, Trivy, OWASP ZAP), (2) building the 29-slide final presentation deck, (3) building the 6-slide code walkthrough deck with code snippets and explanations.
Was it helpful? Yes - significantly reduced time spent on YAML boilerplate for GitHub Actions and on slide layout/formatting. The biggest value was in scaffolding (workflow structure, slide templates) rather than final decisions.
How results were used: Every output was reviewed and corrected against our actual codebase before acceptance. The CI/CD workflows required a manual fix (zap-reports permissions) that AI's first draft missed - found by actually running the workflow and reading the error. Presentation content (Jira numbers, coverage %, ZAP results) was sourced from our own screenshots/reports and verified, not generated by AI. Code snippets in the walkthrough deck are real excerpts from our repo, trimmed for slide space - not AI-invented code.</t>
  </si>
  <si>
    <t>.github/workflows/codeql.yml, trivy.yml, zap.yml - authored and verified green
doc/CS673_finalpresentation_team1 - primary author of full 29-slide deck
demo/CS673_codewalkthrough - slides + speaker notes for my 5 sections (Registration/Auth, RBAC, AI Chat, RAG, CI/CD)
ZAP scan report reviewed and findings documented for security section</t>
  </si>
  <si>
    <t>SonarCloud integration remains blocked - requires BUMETCS673 org-owner approval,. Status: Resolved by decision - team agreed CodeQL + Trivy provide adequate SAST/dependency coverage for course scope; documented as a deliberate scope decision, not an open gap.
IDOR / object-level access control on patient routes - Status: Open, tracked in threat model as "Tracked" (not blocking). Documented as a known limitation with ownership checks partially added; full hardening out of scope for this iteration given timeline.
Password reset email lands in spam (Firebase free-tier sender domain) - Status: Documented as a known limitation in deployment notes with a production fix path (verified custom domain or SendGrid/Postmark).</t>
  </si>
  <si>
    <t>1- Threat model / STRIDE risk register for security section; defense-in-depth layer design</t>
  </si>
  <si>
    <t>3- Built CI/CD security pipeline incrementally (CodeQL, Trivy, OWASP ZAP workflows); fixed ZAP permission issue (zap-reports chmod), generated and reviewed ZAP report (0 High/Med/Low, 5 Informational)</t>
  </si>
  <si>
    <t>4- Verified all 4 GitHub Actions workflows green on PR to dev; validated ZAP scan against running AI service</t>
  </si>
  <si>
    <t>5- Built final iteration presentation deck (29 slides) - requirements, architecture, security, AI usage, deployment sections; built code walkthrough slide deck (5 sections with code snippets + talking points)</t>
  </si>
  <si>
    <t>6.- Reviewed teammates' PRs for Sprint 3 (role assignment: Security Lead reviews auth/security-touching PRs)</t>
  </si>
  <si>
    <t>7- Team sync on final presentation structure and role assignments for live demo</t>
  </si>
  <si>
    <r>
      <rPr>
        <rFont val="Arial"/>
        <b/>
      </rPr>
      <t>Your Lead Roles</t>
    </r>
    <r>
      <rPr>
        <rFont val="Arial"/>
      </rPr>
      <t>: Backup Project Leader, requirement leader</t>
    </r>
  </si>
  <si>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</si>
  <si>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</si>
  <si>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</si>
  <si>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</si>
  <si>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</si>
  <si>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</si>
  <si>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</si>
  <si>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</si>
  <si>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</si>
  <si>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05/09-05/13</t>
  </si>
  <si>
    <t xml:space="preserve">0 - learn jira used AI for that 
1 - make project plan, setup zoom meeting
2 - designed user stories
5- spoke to potential app users to get an idea about expectations and problems </t>
  </si>
  <si>
    <t>Used Claud to make user stories understandable for better communiction and create document for team github usage</t>
  </si>
  <si>
    <t>1. Wrote sections 1-3 and   section 4 a-c in SPPP  
2. Created user stories 
3.Attended 2 meetings to discuss plans for project success</t>
  </si>
  <si>
    <t>making sure all requirements are met and no documents are missed</t>
  </si>
  <si>
    <t xml:space="preserve">check with my group in zoom meeting </t>
  </si>
  <si>
    <t>3-implementation 4 communtion/ managment  4 test</t>
  </si>
  <si>
    <t>05/13-05/25</t>
  </si>
  <si>
    <t>2- designed the project structure and added the code to github main branch for team inital pull
2- designed the schema fo the project
5-created and added all users stories to Jira and created 3 sprints with deadlines and started sprint1 according to specifed dates and guided the team member through the process of selecting their stories 
5-created database on Supabase and added team members
4-performed 7 PR reviews including running the code provided for testing and submitting feed back with fixes
6- updated .env for client, server and docker files and shared structure with team members fixed confuration of Docker-compose.yml to connect to database and fixed issues in code to make sure .env get used 
3- fixed BARI-11 and BARI13 bmi calculator and not eligable page
3- added dateofbirth to registration page
1-PR reviews where made to satify project requriments and securtiy requirements
2-provided project logo
5-was responsive in Discord to team question and requests
3- performed merges to dev and reviewing code
3- performed code intergation from different user stories</t>
  </si>
  <si>
    <t>35 hours</t>
  </si>
  <si>
    <t>5 hours</t>
  </si>
  <si>
    <t>2 hrs</t>
  </si>
  <si>
    <t xml:space="preserve">1. created project structure on main branch on github
2. designed project schema and updated it 
3.created jira board and user stories in 3 sprints with deadlines
4.Created project supabase.com and added the team members
5.Did the PR reviews to all user stories with recommended fixes and changed the for  user stories BARI-11 and BARI13 do to time crunch
6.Fixed configurations in Docker-compose.yml file
7. Added dateofbirth to registration page to address patient registraion
8.Added table relation between user and patient table for patient table to update registered patient
9. After giving PR review and recieving updated code fixed any issues not addressed or new to be able to meet deadline
For BARI-12 specialist recommendation added verifyAuth middleware on POST/recommendaiton and PATCH/:id/specialist and added Navbar to thankyou page
7. performed integration to all user stories
8. Updated SPPP document with required changes assigned to me
9.Updated STP docoment REST API section
10 integration details:1.    PR #9 from  ijnkyle Specialist recommendation
         logic: BMI form with routing that recommends a specialist based on BMI value and  surgery history.
             Fixed issues including missing auth middleware, hardcoded patient ID, and shared Prisma instance.
2.   PR #10 form lijnkyle : Thank You confirmation page shown after patient submits their information. Fixed missing Navbar on loading and  error states.
4. PR #12 from Fatimah: Express app split into app.js and index.js for testability; auth route tests added with Jest and Supertest.
  Updated tests to match current schema (dateOfBirth, Patient mock, patientId assertions).
4. PR #13 from Kolya : Patient search by name, MRN, and date of birth with specialist type and insurance filters; integrated into
  Coordinator Dashboard. Fixed Prisma mock to use shared instance.
5.PR #14 from Kai:  BMI calculation and eligibility. This PR was not up to date with dev and could not be merged as-is. The code was pulled in and the following fixes were applied:
-    Fixed BMI eligibility threshold from &gt; 27 to &gt;= 27
  - Replaced inline BMI formula with the shared calculateBMI() utility from bmi.js
  - Added weight validation to calculateBMI()
  - Replaced alert() with showError() toast for input validation
  - Replaced location.state user dependency with useAuth() from AuthContext
  - Replaced bare inputs with Bootstrap form-control classes
  - Fixed broken catch block indentation in Register.jsx
  - Cleaned up unused imports and dead styles in BmiIneligiblePage
  - Added BMI result display on the calculation page before navigating
  - Added BMI persistence to the database on continue
  Additional fixes:
  1. Patient registration now collects date of birth and automatically creates and links
   a Patient record with an auto-generated MRN
  2. BMI result displayed on calculation page before navigating; BMI saved to the
  database
  3.Email lookup fixed for patient submit notification
  5.Prisma upgraded to v6 for Node.js v24 compatibility
  6.Bariatric Pathway logo added to navbar
An intergration branch was create to include all implemented fixed stories feature/Shaima-integration and PR was created and assigned to Fatima to respond to merge to dev
All PR reviews were manually testing by running server and client
Recored iteration 1 demo and participated in presentation
</t>
  </si>
  <si>
    <t>set meeting time to start iteration 2</t>
  </si>
  <si>
    <r>
      <rPr/>
      <t xml:space="preserve">
2 - Designed comprehensive plan to 
implement iteration 2 including
  a detailed agenda for first Sprint 2
 meeting to include detailed discussion 
on sprint two including shared components 
between multiple stories, 
grouping user stories by owner 
and discussing who builds what first in the
 shared components to avoid blockage 
and to meet deadlines and
 provide a visual of how each ui 
should look like.
•Divided user stories
 based on implementation
•Specifying shared components
 to avoid repetition and a shared function
•Specify api points to be used and what 
files need to be created.
•Provided team mates with time
 estimate for implementing user stories
•Created day by day schedule fo
r each team member with tasks due for sprint 2
3 - Created StatusBadge.jsx and do 
jest unit testing and create test report
•    Created all backend routes for
 iteration2 to be used by team members
 and push to github
•    Created Statusbadge.jsx shared
 component and push to Dev
4 - tested StatusBadge manually 
and using jest testing
     tested all </t>
    </r>
    <r>
      <rPr>
        <b/>
      </rPr>
      <t>backend routes manually
 and using automated testing</t>
    </r>
    <r>
      <rPr/>
      <t xml:space="preserve">
5 - Prepared Sprint2 comprehensive 
document
•   Updated Jira user stories description
 and subtasks.
•    Create and  Host zoom meeting
•    Sent message on Discord to update
 status for day 2 sprint 2
 </t>
    </r>
  </si>
  <si>
    <t>10.5 hrs</t>
  </si>
  <si>
    <t>7hrs</t>
  </si>
  <si>
    <t>1 hr</t>
  </si>
  <si>
    <t>5.5 hrs</t>
  </si>
  <si>
    <t>Used claude to create UI mocks 
based on the user stories
and added to the sprint2 document
to help teammates visualize
what they need to work on.
Used claude to estimate the amount
of time needed to complete
each user story
Used claud to generate daily standup
discord message to share with team</t>
  </si>
  <si>
    <t xml:space="preserve">Implemented all url routes used 
in iteration 2 user stories
implemented StatusBadge.jsx 
shared component between all 
user stories 
implemented createAuditEntry
 a shared utility function extracted
 from the inline audit log code that
 was duplicated in both
 PATCH /api/patients/:id/insurance 
and PATCH /api/patients/:id/clinical. 
all impelemenatiions where tested
manually and using automated
testing
</t>
  </si>
  <si>
    <t>Code review and PR approvals
complete BARI-24 user story
help anyone blocked
host zoom meeting</t>
  </si>
  <si>
    <t>10 hrs</t>
  </si>
  <si>
    <t>26 hr</t>
  </si>
  <si>
    <t>25 hrs</t>
  </si>
  <si>
    <t xml:space="preserve">
3 -Complete user story BARI-24
•        Push user story BARI-24 to github
•        Create PR for BARI-24
4 - Write automated tests for BARI-24
     Write test report for user story BARI-24
•        reviewed  PR#32 for BARI-17 BARI-18 
        and fixed 
•        "Patient not found" persisting after data
 loads successfully
o        Login route not returning patientId 
causing the portal to fail on every login after
 the first Everything looks good. 
•        Made adjustments based on PR review 
updated the 4 failing assertions in patients.test.js
 and searchDB.test.js to expect
 { orderBy: { createdAt: 'desc' } }. 
All 226 backend tests are now passing.
Updated test report for user story BARI-24 
•closed PR#28 feature/shaima
 backend routes statusbadge
•reviewed PR#42 manually testing 
the code by running the code on the 
branch and checking automated tests
 and merged to dev
•manually tested if code on dev
 branch works on docker containers
5-•   Updated all subtasks on Jira to done
•      Move BARi-24 to in review
I created a demos for BARI-24 BARI-17 
and BARI 18 uploaded to drive in
 Iteration2 demo folder
•Clarified teammate question 
about Userstory on Discord
•Replied to team mate 
suggestion about code refactoring
•        Created zoom meeting 
link for todays meeting
•Helped team mate run project on
 Docker containers
•Updated Readme.md with project
 setup instructions.
Updated STD SDD and progress docs
6 - I added DIRECT_URL to the backend
 environment in docker-compose.yml  
it was missing and causing Prisma migrations
 to fail with "Environment variable
 not found: DIRECT_URL".
•        Added a migration that adds the missing
 userId column to the Patient table this was
 causing "Registration failed" errors
7 - unclassified</t>
  </si>
  <si>
    <t>5 hrs</t>
  </si>
  <si>
    <t xml:space="preserve"> 6 hr</t>
  </si>
  <si>
    <t>3 hrs</t>
  </si>
  <si>
    <t xml:space="preserve">Used claude to dignose DIRECT_URL Docker issue.
Claude identiied  that DIRECT_URL was missing
from backend enviroment in docker-compose.yml
Used Claude for docker commands 
 </t>
  </si>
  <si>
    <r>
      <rPr/>
      <t xml:space="preserve">implemented user story -BARI-24
Implemented all url routes used 
in iteration 2 user stories
implemented StatusBadge.jsx 
shared component between all 
user stories 
implemented all backend routes for 
user stories in iteration 2
implemented createAuditEntry
 a shared utility function yo br
useed it in both PATCH routes instead 
of repeating the same code twice
 PATCH /api/patients/:id/insurance 
and PATCH /api/patients/:id/clinical. 
all impelemenatiions where tested
manually and using automated
testing
updated </t>
    </r>
    <r>
      <rPr>
        <color rgb="FF1155CC"/>
        <u/>
      </rPr>
      <t>Readme.md</t>
    </r>
    <r>
      <rPr/>
      <t xml:space="preserve"> to include 
instructions for runnig project 
Updated docker compose.yml to 
include direct database URL
Tested manually project to make 
after user stories completion to make
sure project runs on Docker
Updated STD doc with test reports 
I perfromed 
Updated SDD with implemented URLS</t>
    </r>
  </si>
  <si>
    <t>next meeting to start iteraton 3</t>
  </si>
  <si>
    <t xml:space="preserve">3-Synched dev with main
3-6Deploy project to digital ocean
5 Create doc to organize team work 
and set deadlines and share on discord
5 Zoom meeting 6:30 to 7:10
5 Discord messages
Started sprint 3 on jira and
 assigned user stories
3  Created 
feature/Shaima-bariatric-path-deployment 
from main
6  Fixed CLIENT_URL : 
Changed hardcoded http://localhost:5173 
     to environment variable
 in docker-compose.yml  
2 Fixed AuthContext race condition: 
Removed setUser(null)
 from refreshUser
 catch block to prevent 
registration page from getting stuck
6  Added nginx service:
 Added nginx reverse 
proxy service to docker-compose.yml
6 Created nginx.conf:
 Created nginx config to route /api/ 
to backend and / to frontend over HTTPS
6 Set up HTTPS on droplet:
 Generated self-signed SSL 
certificate using 
OpenSSL on DigitalOcean droplet  
6 Fixed Firebase private key error: 
Fixed \n formatting in .env
 on droplet so Firebase
 Admin SDK could parse the private key
6 Fixed CORS error: Fixed failed to
 fetch error caused by wrong 
CLIENT_URL value
6 Fixed mixed content error:
 Corrected VITE_API_URL 
to use https://67.205.191.149/api 
through nginx instead of port 5001  
3 Created group Gmail account: 
Created bariatricpath.cs673@gmail.com 
for app email notifications
3 Set up Gmail App Password  : 
Generated a 16-character App 
Password for nodemailer authentication
2 Added email guard:
 Added check in patients.js 
to skip email if EMAIL_USER 
or EMAIL_PASS not configured
2 Fixed submit hanging: 
Added 5-second nodemailer timeout
 so submit endpoint does not hang 
when DigitalOcean blocks SMTP
3 Committed all changes: 
6 commits pushed
 to feature/Shaima-bariatric-path-deployment 
on GitHub  
3Deployed to droplet: 
Pulled latest code on DigitalOcean
 droplet and verified deployment   
5 Messaged team : Shared HTTPS URL,
 browser warning instructions, group email
3 Created PR : Opened pull request 
from feature branch to main with full 
summary and test plan
 3 Reviewed PR#56 and testeted manually 
and merged to dev
5Updated drive with email and 
passoored crediantials
3 Updated deployed app
 with code from dev
3 Add director role and added 
patients to table for testing
5 Answered team member inquery 
about database on discord
3 Updated Readme.md and pushed to main
 5 Created a document about the 
code walkthough task breakdown 
and shared with 
the team members to
 prepare for code walkthought 
the presentation and slides
5 Created zoom meeting link
 and met with team for 1:15 Min
3 Fixed a bug where filtering patients 
by specialist type in the
 Coordinator Dashboard returned 
no results
3 Merged fix to main
3 Updated droplet by pulling from main
3Redeployed droplet
2 Created squence digrams for BariatricPath
and presented them in slides
2 Created overall state digram and presented
in slides
2 Fixed slide about deployment 
and presented it
2Created slides for codewalk through
for status badge, notification,
backendroutes, deployment
and presented them
3 Updated documentations related to 
this iteration submission
</t>
  </si>
  <si>
    <t>2hrs</t>
  </si>
  <si>
    <t>4hrs</t>
  </si>
  <si>
    <t>15 hrs</t>
  </si>
  <si>
    <r>
      <rPr/>
      <t xml:space="preserve">
Used Claude to update
</t>
    </r>
    <r>
      <rPr>
        <color rgb="FF1155CC"/>
        <u/>
      </rPr>
      <t>Readme.md</t>
    </r>
    <r>
      <rPr/>
      <t xml:space="preserve"> for the project
Used Claude for SQL commands
Used Claude to resolove the issue
of frontEnd not reaching 
backend on droplet
</t>
    </r>
  </si>
  <si>
    <r>
      <rPr>
        <rFont val="Arial"/>
        <b/>
      </rPr>
      <t>Your Lead Roles</t>
    </r>
    <r>
      <rPr>
        <rFont val="Arial"/>
      </rPr>
      <t>: Backup Project Leader, requirement leader</t>
    </r>
  </si>
  <si>
    <t>2 and 3</t>
  </si>
  <si>
    <t>05/09 - 05/23</t>
  </si>
  <si>
    <t>~39 Hours</t>
  </si>
  <si>
    <t>~35 Hours</t>
  </si>
  <si>
    <t>4 Hours</t>
  </si>
  <si>
    <r>
      <rPr>
        <b/>
      </rPr>
      <t xml:space="preserve">0: </t>
    </r>
    <r>
      <rPr/>
      <t xml:space="preserve">
- Git &amp; Collaboration Workflows (Merge conflicts, parallel branch development, rewriting history)
- Advanced React &amp; Frontend Patterns (routing, API facades, Client-side navigation)
- Node.js &amp; Backend Architecture (Fault tolerance, Singletons, Audit Logging)
- Software Design &amp; Testing (Strategy patterns, Jest unit testing, MVC architecture)
</t>
    </r>
    <r>
      <rPr>
        <b/>
      </rPr>
      <t xml:space="preserve">1: </t>
    </r>
    <r>
      <rPr/>
      <t xml:space="preserve">
- Worked with the team to identify, adjust, and add details of user stories and their dependencies. 
</t>
    </r>
    <r>
      <rPr>
        <b/>
      </rPr>
      <t xml:space="preserve">3 and 4: </t>
    </r>
    <r>
      <rPr/>
      <t xml:space="preserve">
- Feature: BARI-12 Implement patient specialist recommendation based on BMI and medical history
- Feature: BARI-14 Thank You Confirmation and automatic confirmation Email
</t>
    </r>
    <r>
      <rPr>
        <b/>
      </rPr>
      <t xml:space="preserve">6: </t>
    </r>
    <r>
      <rPr/>
      <t xml:space="preserve">
- Environment Variables 
- Configured for Vite (VITE_API_URL) to tell the React frontend where to find the Node server. 
- Configured backend secrets, primarily the DATABASE_URL  and EMAIL_USER / EMAIL_PASS
- gitignore: massive dependency folders (node_modules), build outputs (dist/), and secret .env files and serviceAccountKey.json were    never accidentally pushed to public GitHub.
- Git Authentication / Credentials: Configured local macOS Git environment to successfully push to organization's repository. 
- Prisma Configuration: Initialized Prisma (prisma/schema.prisma) from scratch to define the shape of database 
- package.json &amp; Lockfiles: Initialized Node environments for both the client and server folders, installing dependencies (like react-router-dom, express, nodemailer, firebase) </t>
    </r>
  </si>
  <si>
    <r>
      <rPr>
        <b/>
      </rPr>
      <t>Gemini Notebook ML:</t>
    </r>
    <r>
      <rPr/>
      <t xml:space="preserve"> Used to design a speific learning path for myself from configuration, setup, user stories and development. It serves as my personal tutor to teach all necessary concepts. 
</t>
    </r>
    <r>
      <rPr>
        <b/>
      </rPr>
      <t>Google Antigravity</t>
    </r>
    <r>
      <rPr/>
      <t xml:space="preserve">; AI-enabled coding IDE to assist with building framework and bug fixes. </t>
    </r>
  </si>
  <si>
    <r>
      <rPr>
        <b/>
      </rPr>
      <t>BARI 12: mplemented the specialist recommendation workflow for the Patient Portal including:</t>
    </r>
    <r>
      <rPr/>
      <t xml:space="preserve">
- Backend utility containing core BMI and medical history routing logic
- Express API endpoints for fetching patient data, calculating recommendations, and saving selections
- React BMIForm component to dynamically display primary and alternative specialist options
- Database integration using Prisma to auto-fetch pre-calculated BMI/surgery history and update the visitType column
- [Testing] Added comprehensive Jest unit tests for all routing logic edge cases
   Additional Work
- Refactored the backend to use a single, shared PrismaClient instance to prevent connection pool exhaustion on the Supabase free tier
- Added input validation on the backend endpoints
- Added temporary routing in App.jsx to facilitate independent component testing
Manual Testing Details:
- Ran both server node and client node concurrently.
- Verified the component successfully auto-populates bmi and prevSurgery by fetching live data from the Supabase development database.
- Manually tested in the browser to ensure accurate primary/alternative recommendations.
- Successfully clicked "Choose Specialist" and verified via Prisma that the choice successfully patched the patient's database record.
   Notes
</t>
    </r>
    <r>
      <rPr>
        <b/>
      </rPr>
      <t>BARI 14: Builds the ThankYouPage.jsx component to show confirmation details after a patient submits their profile.</t>
    </r>
    <r>
      <rPr/>
      <t xml:space="preserve">
- Creates a new POST /api/patients/:id/submit route that generates a notification record in the database for the coordinator.
- Integrates nodemailer to automatically send a confirmation email to the patient using environment variables.
- Adds a "View Your Dashboard" button to the confirmation UI.
Manual Testing Details:
- Checked Prisma Studio to find a valid existing patient ID.
- Using terminal or browser console, sent a POST request to http://localhost:5001/api/patients/{valid_patient_id}/submit.
- Verified the view profile button. </t>
    </r>
  </si>
  <si>
    <t>NA</t>
  </si>
  <si>
    <t>Awaiting comments on PR; will be resolving issues and work with teammates to make sure the user flow betowen our pages/features works and has consistency</t>
  </si>
  <si>
    <t>14 Hours</t>
  </si>
  <si>
    <t>12 Hours</t>
  </si>
  <si>
    <t>2 Hours</t>
  </si>
  <si>
    <r>
      <rPr>
        <b/>
      </rPr>
      <t xml:space="preserve">0: </t>
    </r>
    <r>
      <rPr/>
      <t xml:space="preserve">
- Guarding Routes: 
- How to wrap components (BMIForm and ThankYouPage) in a &lt;ProtectedRoute&gt; to ensure only users with active Firebase sessions and the PATIENT role can access them.
- Learned why fetch('http://localhost:5001/...') is brittle. Refactored components to use the apiRequest utility. 
- How to centralize my API calls so that my dynamic environment variables (VITE_API_URL) and Firebase Authorization: Bearer tokens are attached automatically.
- Learned that a non-critical failure (like the SMTP email server temporarily going down) shouldn't crash the entire application for the user. By wrapping the nodemailer.sendMail function in a try/catch block, I ensured the database saves the patient's profile successfully even if the notification email fails to send.
- Learned not to instantiate heavy services repeatedly. By moving nodemailer.createTransport to the very top of patients.js (outside the route handler), I ensured the server only creates the email connection pool once when it starts, rather than every single time a patient clicks submit.
- Fixed issues where the POST /recommendation route was broken. 
- Add guard clauses (e.g., if (!patient.visitType) return error) to stop bad data from flowing through the system and generating broken emails.
- Learned to use prisma.auditLog.create to create a permanent historical record whenever a patient's status or specialist choice changes.
- Learned testing edge cases: Wrote Jest tests for the exact cutoffs of the routing logic (BMI = 27, 35, 40) to guarantee the system doesn't break precisely where the logic branches.
</t>
    </r>
    <r>
      <rPr>
        <b/>
      </rPr>
      <t xml:space="preserve">3 and 4: 
</t>
    </r>
    <r>
      <rPr/>
      <t xml:space="preserve">- Resolved all comments and fixed all issues for BARI 12 and BARI 14. 
</t>
    </r>
    <r>
      <rPr>
        <b/>
      </rPr>
      <t xml:space="preserve">7: </t>
    </r>
    <r>
      <rPr/>
      <t xml:space="preserve">
- Worked on the SDD document; studies and drafted design patterns for our project</t>
    </r>
  </si>
  <si>
    <r>
      <rPr>
        <b/>
      </rPr>
      <t>Gemini Notebook ML:</t>
    </r>
    <r>
      <rPr/>
      <t xml:space="preserve"> Used to design a speific learning path for myself from configuration, setup, user stories and development. It serves as my personal tutor to teach all necessary concepts. 
</t>
    </r>
    <r>
      <rPr>
        <b/>
      </rPr>
      <t>Google Antigravity</t>
    </r>
    <r>
      <rPr/>
      <t xml:space="preserve">; AI-enabled coding IDE to assist with building framework and bug fixes. </t>
    </r>
  </si>
  <si>
    <r>
      <rPr>
        <b/>
      </rPr>
      <t xml:space="preserve">PR Updates for BARI 12 and BARI 14: 
</t>
    </r>
    <r>
      <rPr/>
      <t xml:space="preserve">
- Route Protection: Wrapped the /thank-you/:id route in App.jsx with the &lt;ProtectedRoute allowedRoles={['PATIENT']}&gt; component to ensure it is secure.
- API &amp; Data Fetching: Restored the dynamic patient fetch in ThankYouPage.jsx and upgraded it to use the apiRequest utility so it correctly attaches the Firebase Auth token and uses the VITE_API_URL environment variable.
- Email Display Removed: Removed the hardcoded [Patient Email] display from the Thank You page since the Patient model doesn't directly store emails at this time.
- Nodemailer Refactor (server/routes/patients.js):
- Moved the nodemailer.createTransport configuration outside the route handler so it only instantiates once.
- Wrapped the email sending (transporter.sendMail) in a try/catch block. Now, if the SMTP server fails, the app catches the error and still returns a successful response for the database write, preventing the entire submit flow from crashing.
- Dashboard Routing: Updated the "View My Profile" button to use a React Router &lt;Link to="/patient/portal"&gt; instead of an external &lt;a&gt; tag.
- Bonus / Suggestions Implemented: Added an AuditLog entry to track when a patient submits their profile, and added a guard clause to prevent sending emails if the visitType is empty.
</t>
    </r>
    <r>
      <rPr>
        <b/>
      </rPr>
      <t xml:space="preserve">SDD Document: 
</t>
    </r>
    <r>
      <rPr/>
      <t xml:space="preserve">- Identified and drafted all design patterns for the team project. </t>
    </r>
  </si>
  <si>
    <t>- Work with the team to finalize user stories and assignements for Sprint 2
- Design, implement and test user stories assigned to me;
- Complete Lab3, Quiz2 and iteration 2 document/ presentation preparations</t>
  </si>
  <si>
    <t>32 Hours</t>
  </si>
  <si>
    <t>31 Hours</t>
  </si>
  <si>
    <t>1 hour</t>
  </si>
  <si>
    <r>
      <rPr>
        <b/>
      </rPr>
      <t xml:space="preserve">0: </t>
    </r>
    <r>
      <rPr/>
      <t xml:space="preserve">
- The Power of SRP (Single Responsibility): Learned how decomposition improves codebase health. Splitting a monolithic ~350-line file into distinct components (PatientChecklist, NeedHelpCard, NotificationsCard) made debugging and testing much faster.
- Designing for Reusability (DRY): Learned to customize and extend existing components (like ProgressBar) with configuration props instead of copying and pasting code. This keeps the codebase DRY while supporting page-specific designs.
- Flicker-Free Background Syncing: Learned how to implement a silent polling mechanism (setInterval in a useEffect cleanup hook) that fetches fresh API data every 30 seconds without triggering a full-page loading spinner. This ensures a seamless, layout-stable user experience.
- Dependency Management in Hooks: Mastered the use of useCallback to memoize fetch functions, avoiding infinite rendering loops when integrating polling timers.
- Bridging Auth &amp; Database States: Discovered that external authentication providers (like Google OAuth) can create accounts without completing database schemas.
- Transactional Writes &amp; Self-Healing: Learned to write secure backend database transactions (Prisma.$transaction) to keep data synchronized, and implemented self-healing logic to automatically resolve missing database entries during user logins.
- Fake Timers in Vitest: Learned how to mock time and verify interval polling in unit tests using vi.useFakeTimers().
- Avoiding Test Timeouts: Solved test-hanging issues by understanding the interaction between waitFor and mock timers, learning when to toggle back to vi.useRealTimers() for DOM assertions.
- Managing Environment Templates: Learned the importance of maintaining clean .env.example templates and docker-compose.yml configs to facilitate easy setup for teammates, without exposing sensitive production credentials to GitHub.
</t>
    </r>
    <r>
      <rPr>
        <b/>
      </rPr>
      <t xml:space="preserve">3 and 4: 
</t>
    </r>
    <r>
      <rPr/>
      <t xml:space="preserve">- Feature: BARI 17: Patient Portal with checklist and progess bar
- Feature: BARI 18: Checklist autoupdate
- Refactor: Patient portal.jsx
</t>
    </r>
    <r>
      <rPr>
        <b/>
      </rPr>
      <t xml:space="preserve">7: </t>
    </r>
    <r>
      <rPr/>
      <t xml:space="preserve">
- Worked on the SDD document; presentation slides and demo video.</t>
    </r>
  </si>
  <si>
    <r>
      <rPr>
        <b/>
      </rPr>
      <t>Google Antigravity</t>
    </r>
    <r>
      <rPr/>
      <t xml:space="preserve">; AI-enabled coding IDE to assist with building framework and bug fixes. </t>
    </r>
  </si>
  <si>
    <r>
      <rPr>
        <b/>
      </rPr>
      <t xml:space="preserve">PR Updates for BARI 17 and BARI 18: 
</t>
    </r>
    <r>
      <rPr/>
      <t xml:space="preserve">
- Checklist View: Developed the core read-only patient portal checklist interface showing required tasks (Labs, Consultations, Dietitian, Psychologist, etc.) based on their assigned specialist.
- Custom Status Mappings: Designed custom status subtexts mapping to the patient's current status (e.g., self-pay parameters, scheduling guidelines) to keep the patient informed.
- Badges &amp; Custom SVG Icons: Integrated custom SVG status indicators (Green Check, Orange Clock, Blue Calendar, Red Cross, Grey Minus) and right-aligned color-coded Bootstrap status badges.
- Overall Progress Card: Created the preparation progress section displaying the ratio of completed vs. remaining items and a green animated progress bar (bg-success).
- Background Polling: Implemented a 30-second silent polling mechanism that queries /patients/:id to fetch updated checklist rows and progress values.
Zero Layout Shift: Designed the polling to fetch data silently in the background, updating status badges and progress percentages in real-time without layout shifts, screen flashes, or resetting full-page loading spinners.
- Refactored the monolithic checklist view into a modular, component-driven layout, reducing the main page from ~350 lines to just 122 lines:
- PatientChecklist.jsx: Encapsulates checklist items, label dictionaries, subtext helpers, and status icon SVGs.
- NeedHelpCard.jsx: Houses the coordinator contact card.
- Extended ProgressBar.jsx (DRY): Extended the existing shared progress bar component with custom config props (alwaysGreen, striped, animated, variant="detailed") to prevent duplicate progress bar code.
</t>
    </r>
    <r>
      <rPr>
        <b/>
      </rPr>
      <t xml:space="preserve">SDD Document: 
</t>
    </r>
    <r>
      <rPr/>
      <t xml:space="preserve">- Listed additional design pattern items related to refactoring </t>
    </r>
  </si>
  <si>
    <t>- Work with the team to finalize iteration 3 requirements and scale. 
- Complete quiz3
- Work with the team regarding presentations and demos.</t>
  </si>
  <si>
    <t>28 Hours</t>
  </si>
  <si>
    <t>25 Hours</t>
  </si>
  <si>
    <t>3 Hours (Including demo)</t>
  </si>
  <si>
    <r>
      <rPr>
        <b/>
      </rPr>
      <t xml:space="preserve">0: </t>
    </r>
    <r>
      <rPr/>
      <t xml:space="preserve">
- Shared Component Architecture: Instead of writing separate search, filter, and sorting components for the Coordinator Portal and the Director Dashboard, I integrated them into a single, highly reusable SearchBar.jsx component. Controlled access/features dynamically using clean props (enableSort, disableClick), ensuring zero duplicate code between the two dashboards.
- UX Layout Restructuring (Truncation Prevention): Learned how to pivot layouts for better usability. By splitting the single-row filter toolbar into a two-row toolbar (search/specialist/insurance filters on Row 1, count &amp; inline sorting on Row 2), I resolved visual option truncation on smaller screens while keeping the design clean and spacious.
- In Memory/Client Side Sorting: Instead of making expensive database queries on every dropdown click, I implemented local client side sorting on the fetched patients array using custom JS comparator logic.
- Safe Mathematical Operations: Learned to safely compute checklist progress rates (progress.completed / progress.total) in the sorter while protecting against division-by-zero errors when progress.total is missing or 0.
- String Casing Sensitivity: I encountered how different databases (like Supabase PostgreSQL vs SQLite) handle string casing. Text saved in lowercase ('Bariatric surgeon') will fail to match title-cased dropdown values ('Bariatric Surgeon') unless matched case-insensitively on the backend or frontend.
- Resolving useNavigate Errors: Learned how to handle React Router dependency errors in unit tests by wrapping the component in a &lt;MemoryRouter&gt; wrapper, which supplies the navigation context required by &lt;PatientTableList /&gt;.
- Resolving Async Race Conditions: Learned how to manage timing issues in tests when dealing with useEffect debounces and async API calls. By wrapping queries in await waitFor(...), I ensured that tests wait for the mock API response to resolve and render the component instead of checking elements during the initial empty loading state.
</t>
    </r>
    <r>
      <rPr>
        <b/>
      </rPr>
      <t xml:space="preserve">3 and 4: 
</t>
    </r>
    <r>
      <rPr/>
      <t xml:space="preserve">- Feature: BARI 26: Filter Patients by Specialist
- Feature: BARI 27: Sort Patients by Stage
- Feature: BARI 28: View Summary Metrics
</t>
    </r>
    <r>
      <rPr>
        <b/>
      </rPr>
      <t xml:space="preserve">7: </t>
    </r>
    <r>
      <rPr/>
      <t xml:space="preserve">
- Worked on the SDD document; presentation slides for iteration 3, slides for code review and and final demo video.</t>
    </r>
  </si>
  <si>
    <r>
      <rPr>
        <b/>
      </rPr>
      <t>Gemini Notebook ML:</t>
    </r>
    <r>
      <rPr/>
      <t xml:space="preserve"> Used to design a speific learning path for myself for knowledge points and skills required for this iteration
</t>
    </r>
    <r>
      <rPr>
        <b/>
      </rPr>
      <t>Google Antigravity 2.0:</t>
    </r>
    <r>
      <rPr/>
      <t xml:space="preserve"> AI-enabled coding IDE to assist with building framework and bug fixes. </t>
    </r>
  </si>
  <si>
    <r>
      <rPr>
        <b/>
      </rPr>
      <t xml:space="preserve">PR Updates for BARI 26, 27 and 28: 
</t>
    </r>
    <r>
      <rPr/>
      <t xml:space="preserve">
- SearchBar.jsx: Added a dynamic results counter displaying "Showing X patients" above the table that automatically updates when search parameters or filters are applied.
- PatientMetrics.jsx: Styled the "Not Eligible" metric card value text to display in gray (text-secondary) instead of black to improve dashboard visual hierarchy.
- Restructured the layout into two clean rows. The top row holds the spacious filters (Search, Specialist, Insurance) to prevent dropdown text truncation, while the second row hosts the results count on the left and an inline sorting select box on the right.
- Added enableSort toggle prop to conditionally display the inline Sort by dropdown.
- Implemented local array sorting logic for:
- Progress: highest first: Sorts by checklist completion rate descending (default view).
- Progress: lowest first: Sorts by checklist completion rate ascending (patients with 0% appear at the top).
- Name: A to Z: Sorts alphabetically by patient name.
- BMI: highest first: Sorts numerically by BMI descending.
- DirectorDashboard.jsx &amp; CoordinatorDashboard.jsx: Activated the sorting dropdown on both portals by passing the enableSort prop to the SearchBar component.
- SearchBar.test.jsx: Created a new Vitest unit test suite to verify:
- Dropdown UI visibility constraints (shows only when enableSort is true).
- Dynamic result count updating correctly.
- Sorting output matches expected indexes for all sorting directions (Progress highest, Progress lowest, Name A to Z, BMI highest).
- Ran production build client/ and verified it compiles successfully.
- Manually verified on both the Coordinator and Director dashboards that sorting and filtering work seamlessly together.
- Newest registered: Sorts by registration date (createdAt) descending (new default).
- Name: Z to A: Sorts alphabetically by name descending.
- BMI: lowest first: Sorts numerically by BMI ascending.
</t>
    </r>
    <r>
      <rPr>
        <b/>
      </rPr>
      <t xml:space="preserve">SDD Document: 
</t>
    </r>
    <r>
      <rPr/>
      <t xml:space="preserve">- Listed additional design pattern items
</t>
    </r>
    <r>
      <rPr>
        <b/>
      </rPr>
      <t xml:space="preserve">Presentation: 
</t>
    </r>
    <r>
      <rPr/>
      <t>- Final Demo Video, presentation slides; code review</t>
    </r>
  </si>
  <si>
    <t>Study for the Final</t>
  </si>
  <si>
    <r>
      <rPr>
        <rFont val="Arial"/>
        <b/>
      </rPr>
      <t>Your Lead Roles</t>
    </r>
    <r>
      <rPr>
        <rFont val="Arial"/>
      </rPr>
      <t>: QA lead, Back Up Design and Implementation Lead</t>
    </r>
  </si>
  <si>
    <t>5/05-5/14</t>
  </si>
  <si>
    <t>0 - research testing and QA strategies 1 - work with team on project requirements 2 - work with team on project design 7 - prepare and present interation 0</t>
  </si>
  <si>
    <t>No significant AI use this week</t>
  </si>
  <si>
    <t xml:space="preserve">1. Not familiar with QA and testing strategies </t>
  </si>
  <si>
    <t>1. I researched various testing strategies and reviewed the SPPP to familiarize myself with them</t>
  </si>
  <si>
    <t>0 - continue to research testing strategies and processes</t>
  </si>
  <si>
    <t>0 - figuring out starter and skeleton code and file structure 
1 - reading through stories, acceptance tests, and sub tasks 
2 - figuring out how to best structure code into separate files and modules, contirbuted to UI and Database sections of SDD 
3 - creating coordinator dashboard with search funtionality 
4 - creating unit and implementation tests, testing functionality manually in browser, trouble shooting bugs with fetching data 
5 - attended meetings, minute taker for meeting 4 
6 - troubleshooting git issues (rookie mistakes on my end), integrating authentication into my feature branch and adding authentication to routes,
 7 - lab2 and quiz</t>
  </si>
  <si>
    <t>I used Claude Code for implementing the functionality of my stories. I provided it context with the user stories, acceptance tests, sub tasks, and which files I wanted it to edit. I re-prompted it when I needed to refactor. For example, when I wanted to modularize some of the code for searching or create separate components for the dashboard. Additionally, it was helpful with creating unit tests and integration tests. I also used to troubleshoot issues and bugs. All the code was reviewed by me to ensure quality, and I tested its functionality manually.</t>
  </si>
  <si>
    <t>1. Project code: Coordinator dashboard that displays patient data. Features search by name, DOB, and MRN along with filters by insruance status and specialist type 
2. SDD: Wrote Database section and part of the UI section
3. STD: Added to document testing implemented on my feature branch</t>
  </si>
  <si>
    <t>1. Git: I was accidentally on the same branch as another team memeber which led to some tangled commits and lost code. This happened very early on, so thankfully I did not lose that much work. 
2. Authentication: I had an issue with the authentication functionality after it was merged to dev.
3. Authentication: I did not protect the routes when I submitted my first PR.</t>
  </si>
  <si>
    <t>1. I created a new spearate branch that only I was using. I had no more issues with Git after that. 
2.  I collaborated with my team members to debug. It was discovered that there was a file missing in the dev branch. Once it was added, the authentication worked for me.
3. Shaima pointed out the issue and how to fix it. I implemented those changes and edited the tests to reflect the edits.</t>
  </si>
  <si>
    <t>Implementing more user stories
Editing STD, SDD, and SPPP docs
Lab 3
Quiz 2</t>
  </si>
  <si>
    <t>20-25 hours</t>
  </si>
  <si>
    <t xml:space="preserve">0 - reading lecture/module notes on testing, design, and refactoring
1 - reading through stories, acceptances tests, and subtask
3 - Building implementations of Bari-21 and Bari-22
5 - attending meetings, messaging on discord
7 - lab3 and quiz 2 
</t>
  </si>
  <si>
    <t>1. Project code: [client/src/pages/PatientDetail.jsx] — patient detail page with header card, insurance section, and clinical checklist
[client/src/components/ClinicalChecklist.jsx] — clinical checklist table and row logic
[client/src/components/InsuranceUpdate.jsx] — insurance drop down menu and save logic
[server/tests/insuranceStatus.test.js] — Jest tests for the insurance PATCH route
[server/tests/clinicalUpdate.test.js] — Jest tests for the clinical PATCH route
Modified:
6. [client/src/App.jsx] — added PatientDetail import and /coordinator/patients/:id protected route
7. [client/src/components/PatientTableList.jsx] — added useNavigate and onClick to make rows navigate to the patient detail page</t>
  </si>
  <si>
    <t>None this week. I was able to implement my features without any major issues.</t>
  </si>
  <si>
    <t>n/a</t>
  </si>
  <si>
    <t>1. PR code reviews, manual testing of feature branches before integration, documentation updates, presentation/recording</t>
  </si>
  <si>
    <t>12-15 hours</t>
  </si>
  <si>
    <t>1 - reading through stories, acceptances tests, and subtasks
2 - suggested refactoring of PatientPortal.jsx, edited STD and SDD, moved test files to separate test folders
3 - fixed bug where patient checklist was incorrectly being added to the DB
4 - created tests for my stories, reviewing and manually PRs from team members, testing Docker, 
5 - attending meetings, messaging on discord
6 - setting up AI service, installing dependencies
7 - creating and recording presentation</t>
  </si>
  <si>
    <t>Most of the code review for the PRs was done by me without much AI input. I used AI for debugging some issues with dependencies and merge conflicts.
Additionally, I used it to analyze and fix a bug in the code. I used it for help with updating documentation as well.</t>
  </si>
  <si>
    <t>1. PR code reviews, manual testing, issue/bug diagnosis and fix
2. SDD: Edited database section and part of the UI section
3. STD: Added to document testing implemented on my feature branch and when reviewing PRs
4. TD: Added general information about team testing strategies
5. Iteration 2 presentation and recording</t>
  </si>
  <si>
    <r>
      <rPr>
        <u/>
      </rPr>
      <t xml:space="preserve">PatientPortal.jsx refactoring: 
</t>
    </r>
    <r>
      <rPr/>
      <t xml:space="preserve">It is very long and there is a lot of varied and unrelated functionality currently in it that can be extracted and placed in its own component. As of right now, it does not leverage the strengths of React, which is the component-based UI.
</t>
    </r>
    <r>
      <rPr>
        <u/>
      </rPr>
      <t xml:space="preserve">New Patients Not Receiving Correct Required Checklist:
</t>
    </r>
    <r>
      <rPr/>
      <t>When new patients are added, the correct required checklist is not appearing on the dashboard.
For example, I created a patient that received the bariatric surgeon recommendation.
There should be 10 required items, but only 3 showed up as required.
This is also the case on the coordinator dashboard.</t>
    </r>
  </si>
  <si>
    <r>
      <rPr>
        <u/>
      </rPr>
      <t xml:space="preserve">PatientPortal.jsx refactoring:
</t>
    </r>
    <r>
      <rPr/>
      <t xml:space="preserve">Jianing successfully refactored the Patient Portal page, bring each feature into its own component.
</t>
    </r>
    <r>
      <rPr>
        <u/>
      </rPr>
      <t xml:space="preserve">New Patients Not Receiving Correct Required Checklist:
</t>
    </r>
    <r>
      <rPr/>
      <t>Shaima will take a look at the issue and fix it. Possible candidate for a task in iteration 3.</t>
    </r>
    <r>
      <rPr>
        <u/>
      </rPr>
      <t xml:space="preserve">
</t>
    </r>
  </si>
  <si>
    <t>Deployment, finalizing documentation, final presentation and recording, maybe 1-3 more features implemented, adding more test cases for test coverage</t>
  </si>
  <si>
    <t>0 - Reading module and lecture notes
1 - reading user stories, acceptance tests, and subtasks
3 - fixing bug with how Status Badges were being displayed on the Pateint Detail Page, 
adjusting the UI on the coordinator dashboard
4 - Closed 1 GH issue, completed 4 PRs
5 - attending meetings, messaging on discord
7 - completeing documentation, recording presentations and demo</t>
  </si>
  <si>
    <t>I mostly used AI this week for implementing the bug fix in the coordinator dashboard and for fixing a minor UI issue.
Additionally, I used it for help with the doumentation, such as writing descriptions of UI elements or providing an updated testing inventory with notes.</t>
  </si>
  <si>
    <t>1. PR code reviews, manual testing, issue/bug fixes
2. SDD: Edited parts of the UI section
3. STD: Updated the testing inventory and descriptions along with test coverage sections
4. TD: Added general information about team testing strategies
5. Iteration 3 presentation, demo, walk through and recording
6. Contributed to the slide decks for the presentations</t>
  </si>
  <si>
    <t>I fixed the issue from last iteration with patient's receiving the incorrect clinical checklist.</t>
  </si>
  <si>
    <t>No real issues for this iteration.</t>
  </si>
  <si>
    <r>
      <rPr>
        <rFont val="Arial"/>
        <b/>
      </rPr>
      <t>Your Lead Roles</t>
    </r>
    <r>
      <rPr>
        <rFont val="Arial"/>
      </rPr>
      <t>: Team lead, Configuration Co-lead</t>
    </r>
  </si>
  <si>
    <t>05/05 - 05/14</t>
  </si>
  <si>
    <t>0 - relearning git and jira
5 - Organizing team meeting, document management, risk management sheet, SPPP, recorded and created presentation, submitted documentation
6 - Lab 1: configured Git, edited team.md, created PR for lab1</t>
  </si>
  <si>
    <t>ChatGPT - helped troubleshoot git commands and finding files, used the command given to reset a branch</t>
  </si>
  <si>
    <t>Wrote configuration management section of SPPP and completed risk management sheet and summary for SPPP, restructured SPPP to have consistent formatting and follow instructions (added titles for requirements and made sure they were in the story format), managed progress report, worked with Kolya to create and present interation 0 presentation</t>
  </si>
  <si>
    <t>Unfamiliar with react</t>
  </si>
  <si>
    <t>Learn react basics through independent research</t>
  </si>
  <si>
    <t>Continue learning necessary tools from the tech stack, lead documentation and task delegation, start user stories</t>
  </si>
  <si>
    <t>05/15 - 05/19</t>
  </si>
  <si>
    <t>0 - learning docker (lab 1) and react
1 - creat user stories for icebox (lab 1)
3 - Implement BMI input story
5 - Update SPPP and risk management; Get familiar with SDD; create agendas for team meetings; Coordinate with team through discord
6 - set up docker locally and learn how to run team docker files</t>
  </si>
  <si>
    <t>Claude / ChatGPT - helped troubleshoot Docker errors, assisted with BMI input story</t>
  </si>
  <si>
    <t>Updated SPPP with team and professor recommendations; Updated risk management; Learned how to run our docker files; Implemented BMIinput user story; guided team through discussions and agenda for meetings; began visual design (wireframes) for team to get cohesive vision of what the pages will look like</t>
  </si>
  <si>
    <t>Unfamiliar with Docker</t>
  </si>
  <si>
    <t>Learned Docker through lab and independent research</t>
  </si>
  <si>
    <t>Review code from teammates, lead documentation and task delegation, finish user stories, put together iteration 1 release on github</t>
  </si>
  <si>
    <t>~14</t>
  </si>
  <si>
    <t>05/20-05/25</t>
  </si>
  <si>
    <t>0 - learning supabase/prisma
2 - Wrote Class Diagrams with class descriptions in SDD 
3 - work on Bari11 and bari-13 
4 - Manual and Automated Unit testing for Bari 11 and 13 and then infrastructure testing for STD
5 - create agendas for team meetings, manage documentation needed for iteration 1 (including final review / updates before submission), touch base with team members to follow up on their responsible sections
6 - managed environment problems locally connecting the database to the backend 
7 - Created github workflow to analyze metrics</t>
  </si>
  <si>
    <t>Claude / ChatGPT - assisted in creating infrastructure tests ;  generated unit tests for vitest and jest ; troubleshoot failed infrastructure and unit tests</t>
  </si>
  <si>
    <t xml:space="preserve">Update SPPP with current iteration in the timeline; Update Risk management by updating how we handle risks and likelihood/impact for existing risks; Implement intial Bari-11 and Bari-13 code; Write Class Diagrams section in SDD; Started Infrastructure testing for STD; </t>
  </si>
  <si>
    <t>Unfamiliar with many testing practices ; Had trouble getting the docker environment to run correctly and getting the database to connect for registration and log in; Unfamiliar with github workflows</t>
  </si>
  <si>
    <t>Learned how to use Jest and Postman ; Debugged using ChatGPT and Claude until problem was understood and fixed; Also learned github workflows and github actions</t>
  </si>
  <si>
    <t>Delegate tasks for iteration 2; pick user stories, split into smaller tasks, and start implementing; plan for testing more; lab 3; quiz 2</t>
  </si>
  <si>
    <t>2 - updated SDD with new class diagram
3 - Worked on BARI-20 and BARI-19
4 - Created and implemented automated unit testing for BARI-20
5 - Follow up with shaima's iteration 2 agenda and propose changes ; Updated progress report weeks and risk management</t>
  </si>
  <si>
    <t>Claude / ChatGPT - created vitest tests for bari-20 ; ;troubleshoot docker and prisma issues</t>
  </si>
  <si>
    <t>Update class diagram in SDD; Summarize iteration 1 feedback for team and evaluate what needs to be changed; Implemented BARI-20 (surgery cleared banner component and logic for showing when checklist is complete) ; Suggest changes to iteration plan to avoid scope creep and make sure we finish deliverables on time ; Start BARI-19 logic ; Unit tests for BARI-20 ; updating the risk management</t>
  </si>
  <si>
    <t>Just debugging while coding</t>
  </si>
  <si>
    <t>Used Claude and ChatGPT to assess bugs and efficiently fix them</t>
  </si>
  <si>
    <t>Complete BARI 19 and 20; manage documentation for iteration 2 submission; potentially make presentation</t>
  </si>
  <si>
    <t>3 - Completed BARI-20 after necessary feature was done ; Continued BARI-19, reassessed requirement due to overlap with other story, finished BARI-19 ; Moved test code and source code into appropriate folders and assessing issues with paths and imports [not implemented]
4 - reran infrastructure testing, assessed and diagnosed the failed IFRA-05 test; Unit testing for BARI-19 ; Regression testing while restructurig code folders; verified STD and updated my sections
5 - made agenda for this week's meeting and kept group on track; reviewed documentation for iteration 2 submission and delegated responsible documents and sections; updated progress report, risk management, and SDD
6 - Cleaned up github repo and removed old PRs</t>
  </si>
  <si>
    <t>Claude / ChatGPT - Make sure my bari-19 restyling followed bootstrap styling; Diagnosed failed test for infrastructure testing ; help with folder restructuring</t>
  </si>
  <si>
    <t>Completed bari-20; Reassessed what had to be completed for bari-19 code and finished restyling; Manual and automated testing fro bari-10; manual testing for bari-19; Infrastructure testing; Made agenda and kept group on track during meetings, assessing priorities beofre our next meeting; Documentation management (making sure everyone knows responsibilities, reviewing documents, updating where necessary) ; Github cleanup</t>
  </si>
  <si>
    <t>Work overlapping with teammate; project and testing breaking during folder restructuring</t>
  </si>
  <si>
    <t>Reassessed my story and completed what wasn't already implemented, found other work to accomplish ; used Claude to debug and get the project working while following professor's restructuring suggestions</t>
  </si>
  <si>
    <t>Present final iteration and demo ; Deployment ; Complete any feasible additional user stories that are in the icebox ; Wrap up project and make sure final quality is up to par</t>
  </si>
  <si>
    <t>~9</t>
  </si>
  <si>
    <t>3 - Implemented BARI-25 and part of BARI-28
4 - Tested BARI-25 and 28 manually and created automated unit tests; Followed up with failed INFRA-05 infrastructure test and got test to pass with deployment
5 - Prep agenda for team meeting &amp; keep meeting minutes ; Document updating (STD :update # test cases for client and total, updated 1.2 and metrics, added 2.2.7 for director dashboard, and added iteration 3 test output ; General review and minor updates for SDD and SPPP ; Updated Risk management sppp, Group progress report)
7 - Work on presentation slides, initiate code walkthrough slides for team, work on code slides, meet to present</t>
  </si>
  <si>
    <t>Claude - Helped create the director dashboard and necessary components; developed automated unit tests; Assessed failed infrastructure test</t>
  </si>
  <si>
    <t>Bari 25 and bari 28; Added tests for director dashboard, patient metrics component, and read only banner component ; Documentation management - updating SPPP with hours, risk management, STD (# test cases for client and total, updated 1.2 and metrics, added 2.2.7 for director dashboard, and added iteration 3 test output ), Progress report ; Presentation pptx and code walkthrough pptx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</si>
</sst>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13">
    <font>
      <sz val="10.0"/>
      <color rgb="FF000000"/>
      <name val="Arial"/>
    </font>
    <font>
      <b/>
      <color rgb="FFFF0000"/>
      <name val="Arial"/>
    </font>
    <font>
      <b/>
      <name val="Arial"/>
    </font>
    <font>
      <b/>
    </font>
    <font>
      <b/>
      <color rgb="FFFF0000"/>
    </font>
    <font/>
    <font>
      <b/>
      <u/>
    </font>
    <font>
      <b/>
      <u/>
    </font>
    <font>
      <u/>
      <color rgb="FF0000FF"/>
    </font>
    <font>
      <u/>
      <color rgb="FF0000FF"/>
    </font>
    <font>
      <color rgb="FFFF0000"/>
      <name val="Arial"/>
    </font>
    <font>
      <b/>
      <name val="Calibri"/>
    </font>
    <font>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9" xfId="0" applyAlignment="1" applyFont="1" applyNumberFormat="1">
      <alignment readingOrder="0" shrinkToFit="0" wrapText="1"/>
    </xf>
    <xf borderId="0" fillId="0" fontId="5" numFmtId="10" xfId="0" applyAlignment="1" applyFont="1" applyNumberFormat="1">
      <alignment readingOrder="0" shrinkToFit="0" wrapText="1"/>
    </xf>
    <xf borderId="0" fillId="2" fontId="5" numFmtId="0" xfId="0" applyAlignment="1" applyFill="1" applyFont="1">
      <alignment readingOrder="0" shrinkToFit="0" wrapText="1"/>
    </xf>
    <xf borderId="0" fillId="2" fontId="6" numFmtId="0" xfId="0" applyAlignment="1" applyFont="1">
      <alignment readingOrder="0" shrinkToFit="0" wrapText="1"/>
    </xf>
    <xf borderId="0" fillId="2" fontId="5" numFmtId="0" xfId="0" applyAlignment="1" applyFont="1">
      <alignment shrinkToFit="0" wrapText="1"/>
    </xf>
    <xf borderId="0" fillId="0" fontId="5" numFmtId="164" xfId="0" applyAlignment="1" applyFont="1" applyNumberFormat="1">
      <alignment readingOrder="0" shrinkToFit="0" wrapText="1"/>
    </xf>
    <xf borderId="0" fillId="0" fontId="5" numFmtId="0" xfId="0" applyAlignment="1" applyFont="1">
      <alignment readingOrder="0" shrinkToFit="0" vertical="top" wrapText="1"/>
    </xf>
    <xf borderId="0" fillId="2" fontId="7" numFmtId="0" xfId="0" applyAlignment="1" applyFont="1">
      <alignment readingOrder="0" shrinkToFit="0" wrapText="1"/>
    </xf>
    <xf borderId="0" fillId="0" fontId="8" numFmtId="0" xfId="0" applyAlignment="1" applyFont="1">
      <alignment readingOrder="0" shrinkToFit="0" wrapText="1"/>
    </xf>
    <xf borderId="0" fillId="2" fontId="5"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9" numFmtId="0" xfId="0" applyAlignment="1" applyFont="1">
      <alignment readingOrder="0"/>
    </xf>
    <xf borderId="1" fillId="0" fontId="1" numFmtId="0" xfId="0" applyAlignment="1" applyBorder="1" applyFont="1">
      <alignment readingOrder="0" shrinkToFit="0" vertical="top" wrapText="1"/>
    </xf>
    <xf borderId="1" fillId="0" fontId="10" numFmtId="0" xfId="0" applyAlignment="1" applyBorder="1" applyFont="1">
      <alignment shrinkToFit="0" vertical="top" wrapText="1"/>
    </xf>
    <xf borderId="0" fillId="0" fontId="10"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readingOrder="0" shrinkToFit="0" vertical="top" wrapText="1"/>
    </xf>
    <xf borderId="1" fillId="0" fontId="11" numFmtId="0" xfId="0" applyAlignment="1" applyBorder="1" applyFont="1">
      <alignment shrinkToFit="0" vertical="bottom" wrapText="1"/>
    </xf>
    <xf borderId="0" fillId="0" fontId="12" numFmtId="0" xfId="0" applyAlignment="1" applyFont="1">
      <alignment shrinkToFit="0" vertical="bottom" wrapText="1"/>
    </xf>
    <xf borderId="0" fillId="0" fontId="5" numFmtId="0" xfId="0" applyAlignment="1" applyFont="1">
      <alignment shrinkToFit="0" vertical="top" wrapText="1"/>
    </xf>
    <xf borderId="0" fillId="0" fontId="5" numFmtId="0" xfId="0" applyAlignment="1" applyFont="1">
      <alignment readingOrder="0" vertical="top"/>
    </xf>
    <xf borderId="0" fillId="3" fontId="1" numFmtId="0" xfId="0" applyAlignment="1" applyFill="1" applyFont="1">
      <alignment readingOrder="0" shrinkToFit="0" vertical="bottom" wrapText="0"/>
    </xf>
    <xf borderId="0" fillId="3" fontId="12" numFmtId="0" xfId="0" applyAlignment="1" applyFont="1">
      <alignment readingOrder="0" shrinkToFit="0" vertical="bottom" wrapText="1"/>
    </xf>
    <xf borderId="0" fillId="3" fontId="12" numFmtId="0" xfId="0" applyAlignment="1" applyFont="1">
      <alignment shrinkToFit="0" vertical="bottom" wrapText="1"/>
    </xf>
    <xf borderId="0" fillId="3" fontId="5" numFmtId="0" xfId="0" applyAlignment="1" applyFont="1">
      <alignment readingOrder="0" shrinkToFit="0" wrapText="1"/>
    </xf>
    <xf borderId="0" fillId="3" fontId="5" numFmtId="0" xfId="0" applyAlignment="1" applyFont="1">
      <alignment shrinkToFit="0" wrapText="1"/>
    </xf>
    <xf borderId="0" fillId="3" fontId="5" numFmtId="0" xfId="0" applyFont="1"/>
    <xf borderId="0" fillId="2" fontId="12" numFmtId="0" xfId="0" applyAlignment="1" applyFont="1">
      <alignment readingOrder="0" shrinkToFit="0" vertical="bottom"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2" fillId="0" fontId="2" numFmtId="0" xfId="0" applyAlignment="1" applyBorder="1" applyFont="1">
      <alignment readingOrder="0" shrinkToFit="0" vertical="bottom" wrapText="1"/>
    </xf>
    <xf borderId="0" fillId="0" fontId="3" numFmtId="0" xfId="0" applyFont="1"/>
    <xf borderId="0" fillId="4" fontId="5" numFmtId="0" xfId="0" applyFill="1" applyFont="1"/>
    <xf borderId="0" fillId="4" fontId="5" numFmtId="0" xfId="0" applyAlignment="1" applyFont="1">
      <alignment readingOrder="0"/>
    </xf>
    <xf borderId="0" fillId="4" fontId="5" numFmtId="0" xfId="0" applyAlignment="1" applyFont="1">
      <alignment shrinkToFit="0" wrapText="1"/>
    </xf>
    <xf borderId="0" fillId="4" fontId="5" numFmtId="0" xfId="0" applyAlignment="1" applyFont="1">
      <alignment readingOrder="0" shrinkToFit="0" wrapText="1"/>
    </xf>
    <xf borderId="0" fillId="0" fontId="5" numFmtId="0" xfId="0" applyAlignment="1" applyFont="1">
      <alignment readingOrder="0"/>
    </xf>
    <xf borderId="0" fillId="3" fontId="5" numFmtId="0" xfId="0" applyAlignment="1" applyFont="1">
      <alignment readingOrder="0"/>
    </xf>
    <xf borderId="0" fillId="2" fontId="1" numFmtId="0" xfId="0" applyAlignment="1" applyFont="1">
      <alignment readingOrder="0" shrinkToFit="0" vertical="bottom" wrapText="0"/>
    </xf>
    <xf borderId="0" fillId="2" fontId="5" numFmtId="0" xfId="0" applyFont="1"/>
    <xf borderId="0" fillId="0" fontId="5" numFmtId="165" xfId="0" applyAlignment="1" applyFont="1" applyNumberFormat="1">
      <alignment readingOrder="0"/>
    </xf>
    <xf borderId="0" fillId="2" fontId="1" numFmtId="0" xfId="0" applyAlignment="1" applyFont="1">
      <alignment readingOrder="0" shrinkToFit="0" vertical="top" wrapText="1"/>
    </xf>
    <xf borderId="0" fillId="0" fontId="12" numFmtId="0" xfId="0" applyAlignment="1" applyFont="1">
      <alignment shrinkToFit="0" vertical="top" wrapText="1"/>
    </xf>
    <xf borderId="0" fillId="0" fontId="12" numFmtId="0" xfId="0" applyAlignment="1" applyFont="1">
      <alignment readingOrder="0" shrinkToFit="0" vertical="top" wrapText="1"/>
    </xf>
    <xf borderId="0" fillId="2" fontId="12"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2" fillId="0" fontId="2" numFmtId="0" xfId="0" applyAlignment="1" applyBorder="1" applyFont="1">
      <alignment readingOrder="0" shrinkToFit="0" vertical="top" wrapText="1"/>
    </xf>
    <xf borderId="0" fillId="0" fontId="3" numFmtId="0" xfId="0" applyAlignment="1" applyFont="1">
      <alignment shrinkToFit="0" vertical="top" wrapText="1"/>
    </xf>
    <xf borderId="0" fillId="2" fontId="5" numFmtId="0" xfId="0" applyAlignment="1" applyFont="1">
      <alignment readingOrder="0" shrinkToFit="0" vertical="top" wrapText="1"/>
    </xf>
    <xf borderId="0" fillId="2" fontId="5" numFmtId="0" xfId="0" applyAlignment="1" applyFont="1">
      <alignment shrinkToFit="0" vertical="top" wrapText="1"/>
    </xf>
    <xf borderId="0" fillId="0" fontId="5" numFmtId="0" xfId="0" applyAlignment="1" applyFont="1">
      <alignment horizontal="right" readingOrder="0" shrinkToFit="0" vertical="top" wrapText="1"/>
    </xf>
    <xf borderId="0" fillId="2" fontId="5" numFmtId="0" xfId="0" applyAlignment="1" applyFont="1">
      <alignment horizontal="right" readingOrder="0" shrinkToFit="0" vertical="top" wrapText="1"/>
    </xf>
    <xf borderId="0" fillId="2"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i Fernandes" id="{e909cbc0-bb9a-463f-88b8-61920f9dc89b}" providerId="google-sheets"/>
  <x18tc:person displayName="Yuting Zhang" id="{ceb4140d-1fb1-4e1c-b8d1-600bdd807eed}"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 dT="2026-05-26T00:18:08.00" personId="{e909cbc0-bb9a-463f-88b8-61920f9dc89b}" id="{71cd529a-f883-4f91-b3b9-b050fcadc503}" done="0">
    <x18tc:text xml:space="preserve">These are calculated without Jianing's hours for iterations 0 and 1</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5-16T14:48:22.00" personId="{ceb4140d-1fb1-4e1c-b8d1-600bdd807eed}" id="{ee7436f0-7083-42a0-8515-3f4bf3d7afff}" done="0">
    <x18tc:text xml:space="preserve">please add more details</x18tc:text>
  </x18tc:threadedComment>
  <x18tc:threadedComment ref="A8" dT="2026-05-16T14:48:40.00" personId="{ceb4140d-1fb1-4e1c-b8d1-600bdd807eed}" id="{bea61761-ce77-42c0-9976-2363a4534084}" done="0">
    <x18tc:text xml:space="preserve">good log</x18tc:text>
  </x18tc:threadedComment>
  <x18tc:threadedComment ref="B12" dT="2026-05-29T16:14:21.00" personId="{ceb4140d-1fb1-4e1c-b8d1-600bdd807eed}" id="{8e9b5029-39af-4a02-a512-1c85077d797f}" done="1">
    <x18tc:text xml:space="preserve">should be iteration 1</x18tc:text>
  </x18tc:threadedComment>
  <x18tc:threadedComment ref="A9" dT="2026-05-16T14:48:52.00" personId="{ceb4140d-1fb1-4e1c-b8d1-600bdd807eed}" id="{0244a888-c4cc-4e55-b6c1-3076c7bcc30e}" done="0">
    <x18tc:text xml:space="preserve">please add more details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5-29T15:47:11.00" personId="{ceb4140d-1fb1-4e1c-b8d1-600bdd807eed}" id="{3ce491e6-f59d-4baf-b208-99c1003df44c}" done="0">
    <x18tc:text xml:space="preserve">should have one row for each week.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lPTnNG6sNt-oD1N2WQSW4obrsqV3hn-OqVHHSj6D1GQ/edit?usp=sharing" TargetMode="External"/><Relationship Id="rId11" Type="http://schemas.openxmlformats.org/officeDocument/2006/relationships/drawing" Target="../drawings/drawing2.xml"/><Relationship Id="rId10" Type="http://schemas.openxmlformats.org/officeDocument/2006/relationships/hyperlink" Target="http://readme.md/" TargetMode="External"/><Relationship Id="rId12" Type="http://schemas.openxmlformats.org/officeDocument/2006/relationships/vmlDrawing" Target="../drawings/vmlDrawing2.vml"/><Relationship Id="rId9" Type="http://schemas.openxmlformats.org/officeDocument/2006/relationships/hyperlink" Target="http://readme.md/" TargetMode="External"/><Relationship Id="rId5" Type="http://schemas.openxmlformats.org/officeDocument/2006/relationships/hyperlink" Target="https://claude.ai/chat/f6a09ede-4e2a-4b38-959b-7af92f126e7a" TargetMode="External"/><Relationship Id="rId6" Type="http://schemas.openxmlformats.org/officeDocument/2006/relationships/hyperlink" Target="https://docs.google.com/document/d/1lPTnNG6sNt-oD1N2WQSW4obrsqV3hn-OqVHHSj6D1GQ/edit?usp=sharing" TargetMode="External"/><Relationship Id="rId7" Type="http://schemas.openxmlformats.org/officeDocument/2006/relationships/hyperlink" Target="https://docs.google.com/document/d/1lPTnNG6sNt-oD1N2WQSW4obrsqV3hn-OqVHHSj6D1GQ/edit?usp=sharing" TargetMode="External"/><Relationship Id="rId8" Type="http://schemas.openxmlformats.org/officeDocument/2006/relationships/hyperlink" Target="https://docs.google.com/document/d/1lPTnNG6sNt-oD1N2WQSW4obrsqV3hn-OqVHHSj6D1GQ/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laude.ai/share/5b86ad7e-ef0b-4bec-9852-9eccc6b05e9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readme.md/" TargetMode="External"/><Relationship Id="rId5" Type="http://schemas.openxmlformats.org/officeDocument/2006/relationships/hyperlink" Target="http://readme.md/" TargetMode="External"/><Relationship Id="rId6" Type="http://schemas.openxmlformats.org/officeDocument/2006/relationships/drawing" Target="../drawings/drawing6.xml"/><Relationship Id="rId7"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3" max="3" width="49.38"/>
    <col customWidth="1" min="4" max="4" width="22.13"/>
    <col customWidth="1" min="5" max="5" width="25.75"/>
    <col customWidth="1" min="6" max="6" width="27.0"/>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2" width="6.88"/>
    <col customWidth="1" min="33" max="33" width="13.63"/>
  </cols>
  <sheetData>
    <row r="1">
      <c r="A1" s="1" t="s">
        <v>0</v>
      </c>
      <c r="B1" s="2"/>
      <c r="C1" s="3"/>
      <c r="D1" s="3"/>
      <c r="E1" s="3"/>
      <c r="F1" s="3"/>
      <c r="G1" s="3"/>
      <c r="H1" s="3"/>
      <c r="I1" s="3"/>
      <c r="J1" s="3"/>
      <c r="K1" s="3"/>
      <c r="L1" s="2"/>
      <c r="M1" s="2"/>
      <c r="N1" s="2"/>
      <c r="O1" s="4"/>
      <c r="P1" s="4"/>
      <c r="Q1" s="4"/>
      <c r="R1" s="4"/>
      <c r="S1" s="4"/>
      <c r="T1" s="4"/>
      <c r="U1" s="4"/>
      <c r="V1" s="4"/>
      <c r="W1" s="5"/>
      <c r="X1" s="5"/>
      <c r="Y1" s="5"/>
      <c r="Z1" s="5"/>
      <c r="AA1" s="5"/>
      <c r="AB1" s="5"/>
      <c r="AC1" s="5"/>
      <c r="AD1" s="5"/>
      <c r="AE1" s="5"/>
      <c r="AF1" s="5"/>
      <c r="AG1" s="5"/>
      <c r="AH1" s="5"/>
      <c r="AI1" s="5"/>
      <c r="AJ1" s="5"/>
    </row>
    <row r="2" ht="61.5" customHeight="1">
      <c r="A2" s="1" t="s">
        <v>1</v>
      </c>
      <c r="B2" s="2"/>
      <c r="C2" s="3"/>
      <c r="D2" s="3"/>
      <c r="E2" s="3"/>
      <c r="F2" s="3"/>
      <c r="G2" s="3"/>
      <c r="H2" s="3"/>
      <c r="I2" s="3"/>
      <c r="J2" s="3"/>
      <c r="K2" s="3"/>
      <c r="L2" s="2"/>
      <c r="M2" s="2"/>
      <c r="N2" s="2"/>
      <c r="O2" s="4"/>
      <c r="P2" s="4"/>
      <c r="Q2" s="4"/>
      <c r="R2" s="4"/>
      <c r="S2" s="4"/>
      <c r="T2" s="4"/>
      <c r="U2" s="4"/>
      <c r="V2" s="4"/>
      <c r="W2" s="5"/>
      <c r="X2" s="5"/>
      <c r="Y2" s="5"/>
      <c r="Z2" s="5"/>
      <c r="AA2" s="5"/>
      <c r="AB2" s="5"/>
      <c r="AC2" s="5"/>
      <c r="AD2" s="5"/>
      <c r="AE2" s="5"/>
      <c r="AF2" s="5"/>
      <c r="AG2" s="5"/>
      <c r="AH2" s="5"/>
      <c r="AI2" s="5"/>
      <c r="AJ2" s="5"/>
    </row>
    <row r="3">
      <c r="A3" s="2" t="s">
        <v>2</v>
      </c>
      <c r="B3" s="2" t="s">
        <v>3</v>
      </c>
      <c r="C3" s="3" t="s">
        <v>4</v>
      </c>
      <c r="D3" s="3" t="s">
        <v>5</v>
      </c>
      <c r="E3" s="3" t="s">
        <v>6</v>
      </c>
      <c r="F3" s="3" t="s">
        <v>7</v>
      </c>
      <c r="G3" s="3" t="s">
        <v>8</v>
      </c>
      <c r="H3" s="3" t="s">
        <v>9</v>
      </c>
      <c r="I3" s="3" t="s">
        <v>10</v>
      </c>
      <c r="J3" s="3" t="s">
        <v>11</v>
      </c>
      <c r="K3" s="3" t="s">
        <v>12</v>
      </c>
      <c r="L3" s="2" t="s">
        <v>13</v>
      </c>
      <c r="M3" s="2" t="s">
        <v>14</v>
      </c>
      <c r="N3" s="2" t="s">
        <v>15</v>
      </c>
      <c r="O3" s="4" t="s">
        <v>16</v>
      </c>
      <c r="P3" s="4" t="s">
        <v>17</v>
      </c>
      <c r="Q3" s="4" t="s">
        <v>18</v>
      </c>
      <c r="R3" s="4" t="s">
        <v>19</v>
      </c>
      <c r="S3" s="4" t="s">
        <v>20</v>
      </c>
      <c r="T3" s="4" t="s">
        <v>21</v>
      </c>
      <c r="U3" s="4" t="s">
        <v>22</v>
      </c>
      <c r="V3" s="2" t="s">
        <v>23</v>
      </c>
      <c r="W3" s="6" t="s">
        <v>24</v>
      </c>
      <c r="X3" s="3" t="s">
        <v>25</v>
      </c>
      <c r="Y3" s="3" t="s">
        <v>26</v>
      </c>
      <c r="Z3" s="3" t="s">
        <v>27</v>
      </c>
      <c r="AA3" s="3" t="s">
        <v>28</v>
      </c>
      <c r="AB3" s="3" t="s">
        <v>29</v>
      </c>
      <c r="AC3" s="3" t="s">
        <v>30</v>
      </c>
      <c r="AD3" s="3" t="s">
        <v>31</v>
      </c>
      <c r="AE3" s="3" t="s">
        <v>32</v>
      </c>
      <c r="AF3" s="3" t="s">
        <v>33</v>
      </c>
      <c r="AG3" s="3" t="s">
        <v>34</v>
      </c>
      <c r="AH3" s="3" t="s">
        <v>35</v>
      </c>
      <c r="AI3" s="3" t="s">
        <v>36</v>
      </c>
      <c r="AJ3" s="3" t="s">
        <v>37</v>
      </c>
    </row>
    <row r="4">
      <c r="A4" s="7">
        <v>0.0</v>
      </c>
      <c r="B4" s="7" t="s">
        <v>38</v>
      </c>
      <c r="C4" s="7" t="s">
        <v>39</v>
      </c>
      <c r="D4" s="7" t="s">
        <v>40</v>
      </c>
      <c r="E4" s="7" t="s">
        <v>41</v>
      </c>
      <c r="F4" s="7" t="s">
        <v>42</v>
      </c>
      <c r="G4" s="7" t="s">
        <v>43</v>
      </c>
      <c r="H4" s="7" t="s">
        <v>43</v>
      </c>
      <c r="I4" s="7" t="s">
        <v>43</v>
      </c>
      <c r="J4" s="7" t="s">
        <v>43</v>
      </c>
      <c r="K4" s="7" t="s">
        <v>43</v>
      </c>
      <c r="L4" s="7">
        <v>63.5</v>
      </c>
      <c r="M4" s="7">
        <v>53.5</v>
      </c>
      <c r="N4" s="7">
        <v>2.5</v>
      </c>
      <c r="O4" s="7">
        <v>5.0</v>
      </c>
      <c r="P4" s="7">
        <v>22.0</v>
      </c>
      <c r="Q4" s="7">
        <v>2.5</v>
      </c>
      <c r="R4" s="8"/>
      <c r="S4" s="8"/>
      <c r="T4" s="7">
        <v>13.5</v>
      </c>
      <c r="U4" s="7">
        <v>1.5</v>
      </c>
      <c r="V4" s="7">
        <v>4.0</v>
      </c>
      <c r="W4" s="8"/>
      <c r="X4" s="7" t="s">
        <v>43</v>
      </c>
      <c r="Y4" s="7" t="s">
        <v>43</v>
      </c>
      <c r="Z4" s="7" t="s">
        <v>43</v>
      </c>
      <c r="AA4" s="7" t="s">
        <v>43</v>
      </c>
      <c r="AB4" s="7" t="s">
        <v>43</v>
      </c>
      <c r="AC4" s="7" t="s">
        <v>43</v>
      </c>
      <c r="AD4" s="7" t="s">
        <v>43</v>
      </c>
      <c r="AE4" s="7" t="s">
        <v>43</v>
      </c>
      <c r="AF4" s="7" t="s">
        <v>43</v>
      </c>
      <c r="AG4" s="7" t="s">
        <v>43</v>
      </c>
      <c r="AH4" s="7" t="s">
        <v>43</v>
      </c>
      <c r="AI4" s="7" t="s">
        <v>43</v>
      </c>
      <c r="AJ4" s="7" t="s">
        <v>43</v>
      </c>
    </row>
    <row r="5">
      <c r="A5" s="7">
        <v>1.0</v>
      </c>
      <c r="B5" s="7" t="s">
        <v>44</v>
      </c>
      <c r="C5" s="7" t="s">
        <v>45</v>
      </c>
      <c r="D5" s="7" t="s">
        <v>46</v>
      </c>
      <c r="E5" s="7" t="s">
        <v>47</v>
      </c>
      <c r="F5" s="7" t="s">
        <v>48</v>
      </c>
      <c r="G5" s="7">
        <v>17.0</v>
      </c>
      <c r="H5" s="7">
        <v>0.0</v>
      </c>
      <c r="I5" s="7">
        <v>5.0</v>
      </c>
      <c r="J5" s="7">
        <v>0.0</v>
      </c>
      <c r="K5" s="8"/>
      <c r="L5" s="7">
        <v>100.0</v>
      </c>
      <c r="M5" s="7">
        <v>90.5</v>
      </c>
      <c r="N5" s="7">
        <v>3.0</v>
      </c>
      <c r="O5" s="7">
        <v>4.5</v>
      </c>
      <c r="P5" s="7">
        <v>3.0</v>
      </c>
      <c r="Q5" s="7">
        <v>15.0</v>
      </c>
      <c r="R5" s="7">
        <v>52.0</v>
      </c>
      <c r="S5" s="7">
        <v>7.5</v>
      </c>
      <c r="T5" s="7">
        <v>10.5</v>
      </c>
      <c r="U5" s="7">
        <v>8.5</v>
      </c>
      <c r="V5" s="7">
        <v>5.0</v>
      </c>
      <c r="W5" s="8"/>
      <c r="X5" s="7">
        <v>14968.0</v>
      </c>
      <c r="Y5" s="7">
        <v>52.0</v>
      </c>
      <c r="Z5" s="7" t="s">
        <v>49</v>
      </c>
      <c r="AA5" s="9">
        <v>0.8</v>
      </c>
      <c r="AB5" s="7">
        <v>62.0</v>
      </c>
      <c r="AC5" s="10">
        <v>0.871</v>
      </c>
      <c r="AD5" s="7" t="s">
        <v>50</v>
      </c>
      <c r="AE5" s="7" t="s">
        <v>51</v>
      </c>
      <c r="AF5" s="7" t="s">
        <v>52</v>
      </c>
      <c r="AG5" s="7" t="s">
        <v>53</v>
      </c>
      <c r="AH5" s="7" t="s">
        <v>54</v>
      </c>
      <c r="AI5" s="7" t="s">
        <v>55</v>
      </c>
      <c r="AJ5" s="7" t="s">
        <v>56</v>
      </c>
    </row>
    <row r="6">
      <c r="A6" s="7">
        <v>2.0</v>
      </c>
      <c r="B6" s="7" t="s">
        <v>57</v>
      </c>
      <c r="C6" s="7" t="s">
        <v>58</v>
      </c>
      <c r="D6" s="7" t="s">
        <v>59</v>
      </c>
      <c r="E6" s="7" t="s">
        <v>60</v>
      </c>
      <c r="F6" s="7" t="s">
        <v>61</v>
      </c>
      <c r="G6" s="7">
        <v>24.0</v>
      </c>
      <c r="H6" s="7">
        <v>0.0</v>
      </c>
      <c r="I6" s="7">
        <v>6.0</v>
      </c>
      <c r="J6" s="7">
        <v>3.0</v>
      </c>
      <c r="K6" s="7">
        <v>3.0</v>
      </c>
      <c r="L6" s="7">
        <v>179.5</v>
      </c>
      <c r="M6" s="7">
        <v>164.5</v>
      </c>
      <c r="N6" s="7">
        <v>3.0</v>
      </c>
      <c r="O6" s="7">
        <v>14.5</v>
      </c>
      <c r="P6" s="7">
        <v>4.0</v>
      </c>
      <c r="Q6" s="7">
        <v>15.5</v>
      </c>
      <c r="R6" s="7">
        <v>58.0</v>
      </c>
      <c r="S6" s="7">
        <v>29.0</v>
      </c>
      <c r="T6" s="7">
        <v>23.0</v>
      </c>
      <c r="U6" s="7">
        <v>5.5</v>
      </c>
      <c r="V6" s="7">
        <v>11.5</v>
      </c>
      <c r="W6" s="8"/>
      <c r="X6" s="7">
        <v>21889.0</v>
      </c>
      <c r="Y6" s="7">
        <v>109.0</v>
      </c>
      <c r="Z6" s="7" t="s">
        <v>62</v>
      </c>
      <c r="AA6" s="7" t="s">
        <v>63</v>
      </c>
      <c r="AB6" s="7">
        <v>583.0</v>
      </c>
      <c r="AC6" s="9">
        <v>0.99</v>
      </c>
      <c r="AD6" s="7" t="s">
        <v>50</v>
      </c>
      <c r="AE6" s="7" t="s">
        <v>64</v>
      </c>
      <c r="AF6" s="7" t="s">
        <v>65</v>
      </c>
      <c r="AG6" s="7" t="s">
        <v>66</v>
      </c>
      <c r="AH6" s="7" t="s">
        <v>67</v>
      </c>
      <c r="AI6" s="7" t="s">
        <v>68</v>
      </c>
      <c r="AJ6" s="7" t="s">
        <v>69</v>
      </c>
    </row>
    <row r="7">
      <c r="A7" s="7">
        <v>3.0</v>
      </c>
      <c r="B7" s="7" t="s">
        <v>70</v>
      </c>
      <c r="C7" s="7" t="s">
        <v>71</v>
      </c>
      <c r="D7" s="7" t="s">
        <v>72</v>
      </c>
      <c r="E7" s="7" t="s">
        <v>73</v>
      </c>
      <c r="F7" s="7" t="s">
        <v>74</v>
      </c>
      <c r="G7" s="7">
        <v>21.0</v>
      </c>
      <c r="H7" s="7">
        <v>0.0</v>
      </c>
      <c r="I7" s="7">
        <v>0.0</v>
      </c>
      <c r="J7" s="7">
        <v>3.0</v>
      </c>
      <c r="K7" s="7">
        <v>0.0</v>
      </c>
      <c r="L7" s="7">
        <v>110.5</v>
      </c>
      <c r="M7" s="8">
        <f>SUM(O7:V7)</f>
        <v>106.5</v>
      </c>
      <c r="N7" s="7">
        <v>4.0</v>
      </c>
      <c r="O7" s="7">
        <v>12.0</v>
      </c>
      <c r="P7" s="7">
        <v>5.0</v>
      </c>
      <c r="Q7" s="7">
        <v>5.0</v>
      </c>
      <c r="R7" s="7">
        <v>37.0</v>
      </c>
      <c r="S7" s="7">
        <v>14.5</v>
      </c>
      <c r="T7" s="7">
        <v>18.0</v>
      </c>
      <c r="U7" s="7">
        <v>3.0</v>
      </c>
      <c r="V7" s="7">
        <v>12.0</v>
      </c>
      <c r="W7" s="8"/>
      <c r="X7" s="7">
        <v>23668.0</v>
      </c>
      <c r="Y7" s="7">
        <v>122.0</v>
      </c>
      <c r="Z7" s="7" t="s">
        <v>62</v>
      </c>
      <c r="AA7" s="7" t="s">
        <v>75</v>
      </c>
      <c r="AB7" s="7">
        <v>663.0</v>
      </c>
      <c r="AC7" s="9">
        <v>0.99</v>
      </c>
      <c r="AD7" s="7" t="s">
        <v>76</v>
      </c>
      <c r="AE7" s="7" t="s">
        <v>68</v>
      </c>
      <c r="AF7" s="7" t="s">
        <v>77</v>
      </c>
      <c r="AG7" s="7" t="s">
        <v>78</v>
      </c>
      <c r="AH7" s="7" t="s">
        <v>79</v>
      </c>
      <c r="AI7" s="7" t="s">
        <v>43</v>
      </c>
      <c r="AJ7" s="7" t="s">
        <v>80</v>
      </c>
    </row>
    <row r="8">
      <c r="A8" s="7"/>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7.5"/>
    <col customWidth="1" min="4" max="4" width="19.88"/>
    <col customWidth="1" min="5" max="5" width="22.25"/>
    <col customWidth="1" min="6" max="6" width="29.88"/>
    <col customWidth="1" min="7" max="7" width="66.25"/>
  </cols>
  <sheetData>
    <row r="1" hidden="1">
      <c r="A1" s="7" t="s">
        <v>81</v>
      </c>
      <c r="B1" s="8"/>
      <c r="C1" s="8"/>
      <c r="D1" s="8"/>
      <c r="E1" s="8"/>
      <c r="F1" s="8"/>
      <c r="G1" s="8"/>
      <c r="H1" s="8"/>
      <c r="I1" s="8"/>
      <c r="J1" s="8"/>
      <c r="K1" s="8"/>
      <c r="L1" s="8"/>
      <c r="M1" s="8"/>
      <c r="N1" s="8"/>
      <c r="O1" s="8"/>
      <c r="P1" s="8"/>
      <c r="Q1" s="8"/>
      <c r="R1" s="8"/>
      <c r="S1" s="8"/>
      <c r="T1" s="8"/>
      <c r="U1" s="8"/>
      <c r="V1" s="8"/>
      <c r="W1" s="8"/>
      <c r="X1" s="8"/>
      <c r="Y1" s="8"/>
      <c r="Z1" s="8"/>
    </row>
    <row r="2" hidden="1">
      <c r="A2" s="8"/>
      <c r="B2" s="8"/>
      <c r="C2" s="8"/>
      <c r="D2" s="8"/>
      <c r="E2" s="8"/>
      <c r="F2" s="8"/>
      <c r="G2" s="8"/>
      <c r="H2" s="8"/>
      <c r="I2" s="8"/>
      <c r="J2" s="8"/>
      <c r="K2" s="8"/>
      <c r="L2" s="8"/>
      <c r="M2" s="8"/>
      <c r="N2" s="8"/>
      <c r="O2" s="8"/>
      <c r="P2" s="8"/>
      <c r="Q2" s="8"/>
      <c r="R2" s="8"/>
      <c r="S2" s="8"/>
      <c r="T2" s="8"/>
      <c r="U2" s="8"/>
      <c r="V2" s="8"/>
      <c r="W2" s="8"/>
      <c r="X2" s="8"/>
      <c r="Y2" s="8"/>
      <c r="Z2" s="8"/>
    </row>
    <row r="3" ht="58.5" customHeight="1">
      <c r="A3" s="7" t="s">
        <v>82</v>
      </c>
      <c r="B3" s="7" t="s">
        <v>83</v>
      </c>
      <c r="C3" s="7" t="s">
        <v>84</v>
      </c>
      <c r="D3" s="7" t="s">
        <v>85</v>
      </c>
      <c r="E3" s="7" t="s">
        <v>86</v>
      </c>
      <c r="F3" s="7" t="s">
        <v>87</v>
      </c>
      <c r="G3" s="7" t="s">
        <v>88</v>
      </c>
      <c r="H3" s="8"/>
      <c r="I3" s="8"/>
      <c r="J3" s="8"/>
      <c r="K3" s="8"/>
      <c r="L3" s="8"/>
      <c r="M3" s="8"/>
      <c r="N3" s="8"/>
      <c r="O3" s="8"/>
      <c r="P3" s="8"/>
      <c r="Q3" s="8"/>
      <c r="R3" s="8"/>
      <c r="S3" s="8"/>
      <c r="T3" s="8"/>
      <c r="U3" s="8"/>
      <c r="V3" s="8"/>
      <c r="W3" s="8"/>
      <c r="X3" s="8"/>
      <c r="Y3" s="8"/>
      <c r="Z3" s="8"/>
    </row>
    <row r="4">
      <c r="A4" s="7"/>
      <c r="B4" s="3"/>
      <c r="C4" s="7"/>
      <c r="D4" s="7"/>
      <c r="E4" s="7"/>
      <c r="F4" s="8"/>
      <c r="G4" s="7"/>
      <c r="H4" s="8"/>
      <c r="I4" s="8"/>
      <c r="J4" s="8"/>
      <c r="K4" s="8"/>
      <c r="L4" s="8"/>
      <c r="M4" s="8"/>
      <c r="N4" s="8"/>
      <c r="O4" s="8"/>
      <c r="P4" s="8"/>
      <c r="Q4" s="8"/>
      <c r="R4" s="8"/>
      <c r="S4" s="8"/>
      <c r="T4" s="8"/>
      <c r="U4" s="8"/>
      <c r="V4" s="8"/>
      <c r="W4" s="8"/>
      <c r="X4" s="8"/>
      <c r="Y4" s="8"/>
      <c r="Z4" s="8"/>
    </row>
    <row r="5">
      <c r="A5" s="11"/>
      <c r="B5" s="12" t="s">
        <v>89</v>
      </c>
      <c r="C5" s="11"/>
      <c r="D5" s="11"/>
      <c r="E5" s="11"/>
      <c r="F5" s="13"/>
      <c r="G5" s="11"/>
      <c r="H5" s="13"/>
      <c r="I5" s="13"/>
      <c r="J5" s="13"/>
      <c r="K5" s="13"/>
      <c r="L5" s="13"/>
      <c r="M5" s="13"/>
      <c r="N5" s="13"/>
      <c r="O5" s="13"/>
      <c r="P5" s="13"/>
      <c r="Q5" s="13"/>
      <c r="R5" s="13"/>
      <c r="S5" s="13"/>
      <c r="T5" s="13"/>
      <c r="U5" s="13"/>
      <c r="V5" s="13"/>
      <c r="W5" s="13"/>
      <c r="X5" s="13"/>
      <c r="Y5" s="13"/>
      <c r="Z5" s="13"/>
    </row>
    <row r="6">
      <c r="A6" s="7"/>
      <c r="B6" s="3"/>
      <c r="C6" s="7"/>
      <c r="D6" s="7"/>
      <c r="E6" s="7"/>
      <c r="F6" s="8"/>
      <c r="G6" s="7"/>
      <c r="H6" s="8"/>
      <c r="I6" s="8"/>
      <c r="J6" s="8"/>
      <c r="K6" s="8"/>
      <c r="L6" s="8"/>
      <c r="M6" s="8"/>
      <c r="N6" s="8"/>
      <c r="O6" s="8"/>
      <c r="P6" s="8"/>
      <c r="Q6" s="8"/>
      <c r="R6" s="8"/>
      <c r="S6" s="8"/>
      <c r="T6" s="8"/>
      <c r="U6" s="8"/>
      <c r="V6" s="8"/>
      <c r="W6" s="8"/>
      <c r="X6" s="8"/>
      <c r="Y6" s="8"/>
      <c r="Z6" s="8"/>
    </row>
    <row r="7">
      <c r="A7" s="7" t="s">
        <v>90</v>
      </c>
      <c r="B7" s="14">
        <v>46153.0</v>
      </c>
      <c r="C7" s="7"/>
      <c r="D7" s="7" t="s">
        <v>91</v>
      </c>
      <c r="E7" s="7"/>
      <c r="F7" s="8"/>
      <c r="G7" s="7" t="s">
        <v>92</v>
      </c>
      <c r="H7" s="8"/>
      <c r="I7" s="8"/>
      <c r="J7" s="8"/>
      <c r="K7" s="8"/>
      <c r="L7" s="8"/>
      <c r="M7" s="8"/>
      <c r="N7" s="8"/>
      <c r="O7" s="8"/>
      <c r="P7" s="8"/>
      <c r="Q7" s="8"/>
      <c r="R7" s="8"/>
      <c r="S7" s="8"/>
      <c r="T7" s="8"/>
      <c r="U7" s="8"/>
      <c r="V7" s="8"/>
      <c r="W7" s="8"/>
      <c r="X7" s="8"/>
      <c r="Y7" s="8"/>
      <c r="Z7" s="8"/>
    </row>
    <row r="8">
      <c r="A8" s="7" t="s">
        <v>93</v>
      </c>
      <c r="B8" s="14">
        <v>46153.0</v>
      </c>
      <c r="C8" s="7" t="s">
        <v>94</v>
      </c>
      <c r="D8" s="7" t="s">
        <v>95</v>
      </c>
      <c r="E8" s="7" t="s">
        <v>96</v>
      </c>
      <c r="F8" s="7" t="s">
        <v>97</v>
      </c>
      <c r="G8" s="7" t="s">
        <v>98</v>
      </c>
      <c r="H8" s="8"/>
      <c r="I8" s="8"/>
      <c r="J8" s="8"/>
      <c r="K8" s="8"/>
      <c r="L8" s="8"/>
      <c r="M8" s="8"/>
      <c r="N8" s="8"/>
      <c r="O8" s="8"/>
      <c r="P8" s="8"/>
      <c r="Q8" s="8"/>
      <c r="R8" s="8"/>
      <c r="S8" s="8"/>
      <c r="T8" s="8"/>
      <c r="U8" s="8"/>
      <c r="V8" s="8"/>
      <c r="W8" s="8"/>
      <c r="X8" s="8"/>
      <c r="Y8" s="8"/>
      <c r="Z8" s="8"/>
    </row>
    <row r="9">
      <c r="A9" s="7" t="s">
        <v>99</v>
      </c>
      <c r="B9" s="14">
        <v>46153.0</v>
      </c>
      <c r="C9" s="7" t="s">
        <v>100</v>
      </c>
      <c r="D9" s="7" t="s">
        <v>101</v>
      </c>
      <c r="E9" s="8"/>
      <c r="F9" s="7" t="s">
        <v>102</v>
      </c>
      <c r="G9" s="7" t="s">
        <v>103</v>
      </c>
      <c r="H9" s="8"/>
      <c r="I9" s="8"/>
      <c r="J9" s="8"/>
      <c r="K9" s="8"/>
      <c r="L9" s="8"/>
      <c r="M9" s="8"/>
      <c r="N9" s="8"/>
      <c r="O9" s="8"/>
      <c r="P9" s="8"/>
      <c r="Q9" s="8"/>
      <c r="R9" s="8"/>
      <c r="S9" s="8"/>
      <c r="T9" s="8"/>
      <c r="U9" s="8"/>
      <c r="V9" s="8"/>
      <c r="W9" s="8"/>
      <c r="X9" s="8"/>
      <c r="Y9" s="8"/>
      <c r="Z9" s="8"/>
    </row>
    <row r="10">
      <c r="A10" s="7" t="s">
        <v>104</v>
      </c>
      <c r="B10" s="14">
        <v>46153.0</v>
      </c>
      <c r="C10" s="7" t="s">
        <v>105</v>
      </c>
      <c r="D10" s="15" t="s">
        <v>106</v>
      </c>
      <c r="E10" s="7" t="s">
        <v>107</v>
      </c>
      <c r="F10" s="7" t="s">
        <v>108</v>
      </c>
      <c r="G10" s="7"/>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13"/>
      <c r="B12" s="16" t="s">
        <v>109</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7" t="s">
        <v>99</v>
      </c>
      <c r="B14" s="14">
        <v>46160.0</v>
      </c>
      <c r="C14" s="7" t="s">
        <v>100</v>
      </c>
      <c r="D14" s="7" t="s">
        <v>110</v>
      </c>
      <c r="E14" s="7" t="s">
        <v>111</v>
      </c>
      <c r="F14" s="7" t="s">
        <v>112</v>
      </c>
      <c r="G14" s="7" t="s">
        <v>113</v>
      </c>
      <c r="H14" s="8"/>
      <c r="I14" s="8"/>
      <c r="J14" s="8"/>
      <c r="K14" s="8"/>
      <c r="L14" s="8"/>
      <c r="M14" s="8"/>
      <c r="N14" s="8"/>
      <c r="O14" s="8"/>
      <c r="P14" s="8"/>
      <c r="Q14" s="8"/>
      <c r="R14" s="8"/>
      <c r="S14" s="8"/>
      <c r="T14" s="8"/>
      <c r="U14" s="8"/>
      <c r="V14" s="8"/>
      <c r="W14" s="8"/>
      <c r="X14" s="8"/>
      <c r="Y14" s="8"/>
      <c r="Z14" s="8"/>
    </row>
    <row r="15">
      <c r="A15" s="7" t="s">
        <v>114</v>
      </c>
      <c r="B15" s="7" t="s">
        <v>115</v>
      </c>
      <c r="C15" s="7" t="s">
        <v>116</v>
      </c>
      <c r="D15" s="7" t="s">
        <v>117</v>
      </c>
      <c r="E15" s="7" t="s">
        <v>118</v>
      </c>
      <c r="F15" s="7" t="s">
        <v>119</v>
      </c>
      <c r="G15" s="17" t="s">
        <v>120</v>
      </c>
      <c r="H15" s="8"/>
      <c r="I15" s="8"/>
      <c r="J15" s="8"/>
      <c r="K15" s="8"/>
      <c r="L15" s="8"/>
      <c r="M15" s="8"/>
      <c r="N15" s="8"/>
      <c r="O15" s="8"/>
      <c r="P15" s="8"/>
      <c r="Q15" s="8"/>
      <c r="R15" s="8"/>
      <c r="S15" s="8"/>
      <c r="T15" s="8"/>
      <c r="U15" s="8"/>
      <c r="V15" s="8"/>
      <c r="W15" s="8"/>
      <c r="X15" s="8"/>
      <c r="Y15" s="8"/>
      <c r="Z15" s="8"/>
    </row>
    <row r="16">
      <c r="A16" s="7" t="s">
        <v>93</v>
      </c>
      <c r="B16" s="7" t="s">
        <v>121</v>
      </c>
      <c r="C16" s="7" t="s">
        <v>100</v>
      </c>
      <c r="D16" s="7" t="s">
        <v>122</v>
      </c>
      <c r="E16" s="7" t="s">
        <v>123</v>
      </c>
      <c r="F16" s="7" t="s">
        <v>124</v>
      </c>
      <c r="G16" s="17" t="s">
        <v>125</v>
      </c>
      <c r="H16" s="8"/>
      <c r="I16" s="8"/>
      <c r="J16" s="8"/>
      <c r="K16" s="8"/>
      <c r="L16" s="8"/>
      <c r="M16" s="8"/>
      <c r="N16" s="8"/>
      <c r="O16" s="8"/>
      <c r="P16" s="8"/>
      <c r="Q16" s="8"/>
      <c r="R16" s="8"/>
      <c r="S16" s="8"/>
      <c r="T16" s="8"/>
      <c r="U16" s="8"/>
      <c r="V16" s="8"/>
      <c r="W16" s="8"/>
      <c r="X16" s="8"/>
      <c r="Y16" s="8"/>
      <c r="Z16" s="8"/>
    </row>
    <row r="17">
      <c r="A17" s="7" t="s">
        <v>104</v>
      </c>
      <c r="B17" s="7" t="s">
        <v>121</v>
      </c>
      <c r="C17" s="7" t="s">
        <v>105</v>
      </c>
      <c r="D17" s="15" t="s">
        <v>126</v>
      </c>
      <c r="E17" s="7" t="s">
        <v>107</v>
      </c>
      <c r="F17" s="7" t="s">
        <v>108</v>
      </c>
      <c r="G17" s="7"/>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11"/>
      <c r="B19" s="16" t="s">
        <v>127</v>
      </c>
      <c r="C19" s="11"/>
      <c r="D19" s="11"/>
      <c r="E19" s="11"/>
      <c r="F19" s="11"/>
      <c r="G19" s="18"/>
      <c r="H19" s="13"/>
      <c r="I19" s="13"/>
      <c r="J19" s="13"/>
      <c r="K19" s="13"/>
      <c r="L19" s="13"/>
      <c r="M19" s="13"/>
      <c r="N19" s="13"/>
      <c r="O19" s="13"/>
      <c r="P19" s="13"/>
      <c r="Q19" s="13"/>
      <c r="R19" s="13"/>
      <c r="S19" s="13"/>
      <c r="T19" s="13"/>
      <c r="U19" s="13"/>
      <c r="V19" s="13"/>
      <c r="W19" s="13"/>
      <c r="X19" s="13"/>
      <c r="Y19" s="13"/>
      <c r="Z19" s="13"/>
    </row>
    <row r="20">
      <c r="A20" s="7"/>
      <c r="B20" s="7"/>
      <c r="C20" s="7"/>
      <c r="D20" s="7"/>
      <c r="E20" s="7"/>
      <c r="F20" s="7"/>
      <c r="G20" s="19"/>
      <c r="H20" s="8"/>
      <c r="I20" s="8"/>
      <c r="J20" s="8"/>
      <c r="K20" s="8"/>
      <c r="L20" s="8"/>
      <c r="M20" s="8"/>
      <c r="N20" s="8"/>
      <c r="O20" s="8"/>
      <c r="P20" s="8"/>
      <c r="Q20" s="8"/>
      <c r="R20" s="8"/>
      <c r="S20" s="8"/>
      <c r="T20" s="8"/>
      <c r="U20" s="8"/>
      <c r="V20" s="8"/>
      <c r="W20" s="8"/>
      <c r="X20" s="8"/>
      <c r="Y20" s="8"/>
      <c r="Z20" s="8"/>
    </row>
    <row r="21">
      <c r="A21" s="7" t="s">
        <v>114</v>
      </c>
      <c r="B21" s="7" t="s">
        <v>128</v>
      </c>
      <c r="C21" s="7" t="s">
        <v>116</v>
      </c>
      <c r="D21" s="7" t="s">
        <v>129</v>
      </c>
      <c r="E21" s="7" t="s">
        <v>118</v>
      </c>
      <c r="F21" s="7" t="s">
        <v>130</v>
      </c>
      <c r="G21" s="17" t="s">
        <v>131</v>
      </c>
      <c r="H21" s="8"/>
      <c r="I21" s="8"/>
      <c r="J21" s="8"/>
      <c r="K21" s="8"/>
      <c r="L21" s="8"/>
      <c r="M21" s="8"/>
      <c r="N21" s="8"/>
      <c r="O21" s="8"/>
      <c r="P21" s="8"/>
      <c r="Q21" s="8"/>
      <c r="R21" s="8"/>
      <c r="S21" s="8"/>
      <c r="T21" s="8"/>
      <c r="U21" s="8"/>
      <c r="V21" s="8"/>
      <c r="W21" s="8"/>
      <c r="X21" s="8"/>
      <c r="Y21" s="8"/>
      <c r="Z21" s="8"/>
    </row>
    <row r="22">
      <c r="A22" s="7" t="s">
        <v>132</v>
      </c>
      <c r="B22" s="7" t="s">
        <v>133</v>
      </c>
      <c r="C22" s="7" t="s">
        <v>134</v>
      </c>
      <c r="D22" s="7" t="s">
        <v>135</v>
      </c>
      <c r="E22" s="7" t="s">
        <v>136</v>
      </c>
      <c r="F22" s="7" t="s">
        <v>137</v>
      </c>
      <c r="G22" s="7" t="s">
        <v>138</v>
      </c>
      <c r="H22" s="8"/>
      <c r="I22" s="8"/>
      <c r="J22" s="8"/>
      <c r="K22" s="8"/>
      <c r="L22" s="8"/>
      <c r="M22" s="8"/>
      <c r="N22" s="8"/>
      <c r="O22" s="8"/>
      <c r="P22" s="8"/>
      <c r="Q22" s="8"/>
      <c r="R22" s="8"/>
      <c r="S22" s="8"/>
      <c r="T22" s="8"/>
      <c r="U22" s="8"/>
      <c r="V22" s="8"/>
      <c r="W22" s="8"/>
      <c r="X22" s="8"/>
      <c r="Y22" s="8"/>
      <c r="Z22" s="8"/>
    </row>
    <row r="23">
      <c r="A23" s="7" t="s">
        <v>114</v>
      </c>
      <c r="B23" s="7" t="s">
        <v>139</v>
      </c>
      <c r="C23" s="7" t="s">
        <v>116</v>
      </c>
      <c r="D23" s="7" t="s">
        <v>140</v>
      </c>
      <c r="E23" s="7" t="s">
        <v>118</v>
      </c>
      <c r="F23" s="7" t="s">
        <v>130</v>
      </c>
      <c r="G23" s="17" t="s">
        <v>141</v>
      </c>
      <c r="H23" s="8"/>
      <c r="I23" s="8"/>
      <c r="J23" s="8"/>
      <c r="K23" s="8"/>
      <c r="L23" s="8"/>
      <c r="M23" s="8"/>
      <c r="N23" s="8"/>
      <c r="O23" s="8"/>
      <c r="P23" s="8"/>
      <c r="Q23" s="8"/>
      <c r="R23" s="8"/>
      <c r="S23" s="8"/>
      <c r="T23" s="8"/>
      <c r="U23" s="8"/>
      <c r="V23" s="8"/>
      <c r="W23" s="8"/>
      <c r="X23" s="8"/>
      <c r="Y23" s="8"/>
      <c r="Z23" s="8"/>
    </row>
    <row r="24">
      <c r="A24" s="7" t="s">
        <v>90</v>
      </c>
      <c r="B24" s="7" t="s">
        <v>139</v>
      </c>
      <c r="C24" s="7" t="s">
        <v>116</v>
      </c>
      <c r="D24" s="7" t="s">
        <v>142</v>
      </c>
      <c r="E24" s="7" t="s">
        <v>143</v>
      </c>
      <c r="F24" s="7" t="s">
        <v>144</v>
      </c>
      <c r="G24" s="7" t="s">
        <v>145</v>
      </c>
      <c r="H24" s="8"/>
      <c r="I24" s="8"/>
      <c r="J24" s="8"/>
      <c r="K24" s="8"/>
      <c r="L24" s="8"/>
      <c r="M24" s="8"/>
      <c r="N24" s="8"/>
      <c r="O24" s="8"/>
      <c r="P24" s="8"/>
      <c r="Q24" s="8"/>
      <c r="R24" s="8"/>
      <c r="S24" s="8"/>
      <c r="T24" s="8"/>
      <c r="U24" s="8"/>
      <c r="V24" s="8"/>
      <c r="W24" s="8"/>
      <c r="X24" s="8"/>
      <c r="Y24" s="8"/>
      <c r="Z24" s="8"/>
    </row>
    <row r="25">
      <c r="A25" s="7" t="s">
        <v>132</v>
      </c>
      <c r="B25" s="7" t="s">
        <v>139</v>
      </c>
      <c r="C25" s="7" t="s">
        <v>134</v>
      </c>
      <c r="D25" s="7" t="s">
        <v>146</v>
      </c>
      <c r="E25" s="7" t="s">
        <v>136</v>
      </c>
      <c r="F25" s="7" t="s">
        <v>147</v>
      </c>
      <c r="G25" s="7" t="s">
        <v>148</v>
      </c>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7" t="s">
        <v>149</v>
      </c>
      <c r="B27" s="7" t="s">
        <v>139</v>
      </c>
      <c r="C27" s="7" t="s">
        <v>100</v>
      </c>
      <c r="D27" s="7" t="s">
        <v>150</v>
      </c>
      <c r="E27" s="7" t="s">
        <v>151</v>
      </c>
      <c r="F27" s="7" t="s">
        <v>152</v>
      </c>
      <c r="G27" s="7" t="s">
        <v>153</v>
      </c>
      <c r="H27" s="8"/>
      <c r="I27" s="8"/>
      <c r="J27" s="8"/>
      <c r="K27" s="8"/>
      <c r="L27" s="8"/>
      <c r="M27" s="8"/>
      <c r="N27" s="8"/>
      <c r="O27" s="8"/>
      <c r="P27" s="8"/>
      <c r="Q27" s="8"/>
      <c r="R27" s="8"/>
      <c r="S27" s="8"/>
      <c r="T27" s="8"/>
      <c r="U27" s="8"/>
      <c r="V27" s="8"/>
      <c r="W27" s="8"/>
      <c r="X27" s="8"/>
      <c r="Y27" s="8"/>
      <c r="Z27" s="8"/>
    </row>
    <row r="28">
      <c r="A28" s="7" t="s">
        <v>104</v>
      </c>
      <c r="B28" s="7" t="s">
        <v>139</v>
      </c>
      <c r="C28" s="7" t="s">
        <v>105</v>
      </c>
      <c r="D28" s="15" t="s">
        <v>154</v>
      </c>
      <c r="E28" s="7" t="s">
        <v>107</v>
      </c>
      <c r="F28" s="7" t="s">
        <v>108</v>
      </c>
      <c r="G28" s="7"/>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13"/>
      <c r="B31" s="12" t="s">
        <v>155</v>
      </c>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7" t="s">
        <v>99</v>
      </c>
      <c r="B33" s="7" t="s">
        <v>156</v>
      </c>
      <c r="C33" s="7" t="s">
        <v>100</v>
      </c>
      <c r="D33" s="7" t="s">
        <v>157</v>
      </c>
      <c r="E33" s="20" t="s">
        <v>111</v>
      </c>
      <c r="F33" s="7" t="s">
        <v>158</v>
      </c>
      <c r="G33" s="7" t="s">
        <v>159</v>
      </c>
      <c r="H33" s="8"/>
      <c r="I33" s="8"/>
      <c r="J33" s="8"/>
      <c r="K33" s="8"/>
      <c r="L33" s="8"/>
      <c r="M33" s="8"/>
      <c r="N33" s="8"/>
      <c r="O33" s="8"/>
      <c r="P33" s="8"/>
      <c r="Q33" s="8"/>
      <c r="R33" s="8"/>
      <c r="S33" s="8"/>
      <c r="T33" s="8"/>
      <c r="U33" s="8"/>
      <c r="V33" s="8"/>
      <c r="W33" s="8"/>
      <c r="X33" s="8"/>
      <c r="Y33" s="8"/>
      <c r="Z33" s="8"/>
    </row>
    <row r="34">
      <c r="A34" s="7" t="s">
        <v>114</v>
      </c>
      <c r="B34" s="7" t="s">
        <v>160</v>
      </c>
      <c r="C34" s="7" t="s">
        <v>116</v>
      </c>
      <c r="D34" s="7" t="s">
        <v>161</v>
      </c>
      <c r="E34" s="7" t="s">
        <v>107</v>
      </c>
      <c r="F34" s="7" t="s">
        <v>162</v>
      </c>
      <c r="G34" s="17" t="s">
        <v>163</v>
      </c>
      <c r="H34" s="8"/>
      <c r="I34" s="8"/>
      <c r="J34" s="8"/>
      <c r="K34" s="8"/>
      <c r="L34" s="8"/>
      <c r="M34" s="8"/>
      <c r="N34" s="8"/>
      <c r="O34" s="8"/>
      <c r="P34" s="8"/>
      <c r="Q34" s="8"/>
      <c r="R34" s="8"/>
      <c r="S34" s="8"/>
      <c r="T34" s="8"/>
      <c r="U34" s="8"/>
      <c r="V34" s="8"/>
      <c r="W34" s="8"/>
      <c r="X34" s="8"/>
      <c r="Y34" s="8"/>
      <c r="Z34" s="8"/>
    </row>
    <row r="35">
      <c r="A35" s="7" t="s">
        <v>93</v>
      </c>
      <c r="B35" s="7" t="s">
        <v>160</v>
      </c>
      <c r="C35" s="7" t="s">
        <v>164</v>
      </c>
      <c r="D35" s="7" t="s">
        <v>165</v>
      </c>
      <c r="E35" s="7" t="s">
        <v>107</v>
      </c>
      <c r="F35" s="7" t="s">
        <v>166</v>
      </c>
      <c r="G35" s="7" t="s">
        <v>167</v>
      </c>
      <c r="H35" s="8"/>
      <c r="I35" s="8"/>
      <c r="J35" s="8"/>
      <c r="K35" s="8"/>
      <c r="L35" s="8"/>
      <c r="M35" s="8"/>
      <c r="N35" s="8"/>
      <c r="O35" s="8"/>
      <c r="P35" s="8"/>
      <c r="Q35" s="8"/>
      <c r="R35" s="8"/>
      <c r="S35" s="8"/>
      <c r="T35" s="8"/>
      <c r="U35" s="8"/>
      <c r="V35" s="8"/>
      <c r="W35" s="8"/>
      <c r="X35" s="8"/>
      <c r="Y35" s="8"/>
      <c r="Z35" s="8"/>
    </row>
    <row r="36">
      <c r="A36" s="7" t="s">
        <v>104</v>
      </c>
      <c r="B36" s="7" t="s">
        <v>160</v>
      </c>
      <c r="C36" s="7" t="s">
        <v>105</v>
      </c>
      <c r="D36" s="15" t="s">
        <v>168</v>
      </c>
      <c r="E36" s="7" t="s">
        <v>107</v>
      </c>
      <c r="F36" s="7" t="s">
        <v>108</v>
      </c>
      <c r="G36" s="7"/>
      <c r="H36" s="8"/>
      <c r="I36" s="8"/>
      <c r="J36" s="8"/>
      <c r="K36" s="8"/>
      <c r="L36" s="8"/>
      <c r="M36" s="8"/>
      <c r="N36" s="8"/>
      <c r="O36" s="8"/>
      <c r="P36" s="8"/>
      <c r="Q36" s="8"/>
      <c r="R36" s="8"/>
      <c r="S36" s="8"/>
      <c r="T36" s="8"/>
      <c r="U36" s="8"/>
      <c r="V36" s="8"/>
      <c r="W36" s="8"/>
      <c r="X36" s="8"/>
      <c r="Y36" s="8"/>
      <c r="Z36" s="8"/>
    </row>
    <row r="37">
      <c r="A37" s="7" t="s">
        <v>169</v>
      </c>
      <c r="B37" s="7" t="s">
        <v>170</v>
      </c>
      <c r="C37" s="7" t="s">
        <v>164</v>
      </c>
      <c r="D37" s="17" t="s">
        <v>171</v>
      </c>
      <c r="E37" s="7" t="s">
        <v>172</v>
      </c>
      <c r="F37" s="21" t="s">
        <v>173</v>
      </c>
      <c r="G37" s="7" t="s">
        <v>174</v>
      </c>
      <c r="H37" s="8"/>
      <c r="I37" s="8"/>
      <c r="J37" s="8"/>
      <c r="K37" s="8"/>
      <c r="L37" s="8"/>
      <c r="M37" s="8"/>
      <c r="N37" s="8"/>
      <c r="O37" s="8"/>
      <c r="P37" s="8"/>
      <c r="Q37" s="8"/>
      <c r="R37" s="8"/>
      <c r="S37" s="8"/>
      <c r="T37" s="8"/>
      <c r="U37" s="8"/>
      <c r="V37" s="8"/>
      <c r="W37" s="8"/>
      <c r="X37" s="8"/>
      <c r="Y37" s="8"/>
      <c r="Z37" s="8"/>
    </row>
    <row r="38">
      <c r="A38" s="8"/>
      <c r="B38" s="8"/>
      <c r="C38" s="7"/>
      <c r="D38" s="7"/>
      <c r="E38" s="7"/>
      <c r="F38" s="7"/>
      <c r="G38" s="7"/>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sheetData>
  <hyperlinks>
    <hyperlink r:id="rId4" ref="G15"/>
    <hyperlink r:id="rId5" ref="G16"/>
    <hyperlink r:id="rId6" ref="G21"/>
    <hyperlink r:id="rId7" ref="G23"/>
    <hyperlink r:id="rId8" ref="G34"/>
    <hyperlink r:id="rId9" ref="D37"/>
    <hyperlink r:id="rId10" ref="F37"/>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31.38"/>
    <col customWidth="1" min="7" max="7" width="35.38"/>
    <col customWidth="1" min="8" max="11" width="31.38"/>
  </cols>
  <sheetData>
    <row r="1" ht="69.0" customHeight="1">
      <c r="A1" s="22" t="s">
        <v>175</v>
      </c>
      <c r="B1" s="23"/>
      <c r="C1" s="23"/>
      <c r="D1" s="23"/>
      <c r="E1" s="23"/>
      <c r="F1" s="23"/>
      <c r="G1" s="23"/>
      <c r="H1" s="23"/>
      <c r="I1" s="23"/>
      <c r="J1" s="23"/>
      <c r="K1" s="24"/>
      <c r="L1" s="24"/>
      <c r="M1" s="24"/>
      <c r="N1" s="24"/>
      <c r="O1" s="24"/>
      <c r="P1" s="24"/>
      <c r="Q1" s="24"/>
      <c r="R1" s="24"/>
      <c r="S1" s="24"/>
      <c r="T1" s="24"/>
      <c r="U1" s="24"/>
      <c r="V1" s="24"/>
      <c r="W1" s="24"/>
      <c r="X1" s="24"/>
      <c r="Y1" s="24"/>
      <c r="Z1" s="24"/>
    </row>
    <row r="2">
      <c r="A2" s="25" t="s">
        <v>176</v>
      </c>
      <c r="B2" s="26" t="s">
        <v>177</v>
      </c>
      <c r="C2" s="27" t="s">
        <v>178</v>
      </c>
      <c r="D2" s="26" t="s">
        <v>179</v>
      </c>
      <c r="E2" s="26" t="s">
        <v>180</v>
      </c>
      <c r="F2" s="26" t="s">
        <v>181</v>
      </c>
      <c r="G2" s="26" t="s">
        <v>182</v>
      </c>
      <c r="H2" s="26" t="s">
        <v>183</v>
      </c>
      <c r="I2" s="26" t="s">
        <v>184</v>
      </c>
      <c r="J2" s="26" t="s">
        <v>185</v>
      </c>
      <c r="K2" s="28" t="s">
        <v>186</v>
      </c>
      <c r="L2" s="29"/>
      <c r="M2" s="29"/>
      <c r="N2" s="29"/>
      <c r="O2" s="29"/>
      <c r="P2" s="29"/>
      <c r="Q2" s="29"/>
      <c r="R2" s="29"/>
      <c r="S2" s="29"/>
      <c r="T2" s="29"/>
      <c r="U2" s="29"/>
      <c r="V2" s="29"/>
      <c r="W2" s="29"/>
      <c r="X2" s="29"/>
      <c r="Y2" s="29"/>
      <c r="Z2" s="29"/>
    </row>
    <row r="3">
      <c r="A3" s="7" t="s">
        <v>187</v>
      </c>
      <c r="B3" s="8"/>
      <c r="C3" s="8"/>
      <c r="D3" s="7" t="s">
        <v>188</v>
      </c>
      <c r="E3" s="7" t="s">
        <v>189</v>
      </c>
      <c r="F3" s="7" t="s">
        <v>190</v>
      </c>
      <c r="G3" s="7" t="s">
        <v>191</v>
      </c>
      <c r="H3" s="7" t="s">
        <v>192</v>
      </c>
      <c r="I3" s="8"/>
      <c r="J3" s="7" t="s">
        <v>193</v>
      </c>
      <c r="K3" s="8"/>
      <c r="L3" s="8"/>
      <c r="M3" s="8"/>
      <c r="N3" s="8"/>
      <c r="O3" s="8"/>
      <c r="P3" s="8"/>
      <c r="Q3" s="8"/>
      <c r="R3" s="8"/>
      <c r="S3" s="8"/>
      <c r="T3" s="8"/>
      <c r="U3" s="8"/>
      <c r="V3" s="8"/>
      <c r="W3" s="8"/>
      <c r="X3" s="8"/>
      <c r="Y3" s="8"/>
      <c r="Z3" s="8"/>
    </row>
    <row r="4">
      <c r="A4" s="13"/>
      <c r="B4" s="13"/>
      <c r="C4" s="13"/>
      <c r="D4" s="13"/>
      <c r="E4" s="13"/>
      <c r="F4" s="13"/>
      <c r="G4" s="13"/>
      <c r="H4" s="13"/>
      <c r="I4" s="13"/>
      <c r="J4" s="13"/>
      <c r="K4" s="13"/>
      <c r="L4" s="13"/>
      <c r="M4" s="13"/>
      <c r="N4" s="13"/>
      <c r="O4" s="13"/>
      <c r="P4" s="13"/>
      <c r="Q4" s="13"/>
      <c r="R4" s="13"/>
      <c r="S4" s="13"/>
      <c r="T4" s="13"/>
      <c r="U4" s="13"/>
      <c r="V4" s="13"/>
      <c r="W4" s="13"/>
      <c r="X4" s="13"/>
      <c r="Y4" s="13"/>
      <c r="Z4" s="13"/>
    </row>
    <row r="5">
      <c r="A5" s="7" t="s">
        <v>194</v>
      </c>
      <c r="B5" s="7" t="s">
        <v>195</v>
      </c>
      <c r="C5" s="7" t="s">
        <v>196</v>
      </c>
      <c r="D5" s="7" t="s">
        <v>197</v>
      </c>
      <c r="E5" s="7" t="s">
        <v>198</v>
      </c>
      <c r="F5" s="7" t="s">
        <v>199</v>
      </c>
      <c r="G5" s="7" t="s">
        <v>200</v>
      </c>
      <c r="H5" s="7" t="s">
        <v>201</v>
      </c>
      <c r="I5" s="8"/>
      <c r="J5" s="7" t="s">
        <v>202</v>
      </c>
      <c r="K5" s="8"/>
      <c r="L5" s="8"/>
      <c r="M5" s="8"/>
      <c r="N5" s="8"/>
      <c r="O5" s="8"/>
      <c r="P5" s="8"/>
      <c r="Q5" s="8"/>
      <c r="R5" s="8"/>
      <c r="S5" s="8"/>
      <c r="T5" s="8"/>
      <c r="U5" s="8"/>
      <c r="V5" s="8"/>
      <c r="W5" s="8"/>
      <c r="X5" s="8"/>
      <c r="Y5" s="8"/>
      <c r="Z5" s="8"/>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ht="159.75" customHeight="1">
      <c r="A7" s="15" t="s">
        <v>104</v>
      </c>
      <c r="B7" s="30"/>
      <c r="C7" s="15" t="s">
        <v>203</v>
      </c>
      <c r="D7" s="15" t="s">
        <v>204</v>
      </c>
      <c r="E7" s="30"/>
      <c r="F7" s="15" t="s">
        <v>205</v>
      </c>
      <c r="G7" s="15" t="s">
        <v>206</v>
      </c>
      <c r="H7" s="15" t="s">
        <v>207</v>
      </c>
      <c r="I7" s="31" t="s">
        <v>208</v>
      </c>
      <c r="J7" s="15" t="s">
        <v>209</v>
      </c>
      <c r="K7" s="30"/>
      <c r="L7" s="30"/>
      <c r="M7" s="30"/>
      <c r="N7" s="30"/>
      <c r="O7" s="30"/>
      <c r="P7" s="30"/>
      <c r="Q7" s="30"/>
      <c r="R7" s="30"/>
      <c r="S7" s="30"/>
      <c r="T7" s="30"/>
      <c r="U7" s="30"/>
      <c r="V7" s="30"/>
      <c r="W7" s="30"/>
      <c r="X7" s="30"/>
      <c r="Y7" s="30"/>
      <c r="Z7" s="30"/>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7" t="s">
        <v>210</v>
      </c>
      <c r="B9" s="7" t="s">
        <v>211</v>
      </c>
      <c r="C9" s="7" t="s">
        <v>212</v>
      </c>
      <c r="D9" s="7" t="s">
        <v>213</v>
      </c>
      <c r="E9" s="7" t="s">
        <v>214</v>
      </c>
      <c r="F9" s="7" t="s">
        <v>215</v>
      </c>
      <c r="G9" s="7" t="s">
        <v>216</v>
      </c>
      <c r="H9" s="7" t="s">
        <v>217</v>
      </c>
      <c r="I9" s="7" t="s">
        <v>218</v>
      </c>
      <c r="J9" s="7" t="s">
        <v>219</v>
      </c>
      <c r="K9" s="7" t="s">
        <v>220</v>
      </c>
      <c r="L9" s="8"/>
      <c r="M9" s="8"/>
      <c r="N9" s="8"/>
      <c r="O9" s="8"/>
      <c r="P9" s="8"/>
      <c r="Q9" s="8"/>
      <c r="R9" s="8"/>
      <c r="S9" s="8"/>
      <c r="T9" s="8"/>
      <c r="U9" s="8"/>
      <c r="V9" s="8"/>
      <c r="W9" s="8"/>
      <c r="X9" s="8"/>
      <c r="Y9" s="8"/>
      <c r="Z9" s="8"/>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7" t="s">
        <v>169</v>
      </c>
      <c r="B11" s="7" t="s">
        <v>221</v>
      </c>
      <c r="C11" s="7" t="s">
        <v>222</v>
      </c>
      <c r="D11" s="7" t="s">
        <v>223</v>
      </c>
      <c r="E11" s="7" t="s">
        <v>224</v>
      </c>
      <c r="F11" s="7" t="s">
        <v>225</v>
      </c>
      <c r="G11" s="7" t="s">
        <v>226</v>
      </c>
      <c r="H11" s="7" t="s">
        <v>227</v>
      </c>
      <c r="I11" s="7" t="s">
        <v>228</v>
      </c>
      <c r="J11" s="7" t="s">
        <v>229</v>
      </c>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156.13"/>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38.13"/>
    <col customWidth="1" min="16" max="16" width="60.5"/>
    <col customWidth="1" min="17" max="17" width="47.63"/>
    <col customWidth="1" min="18" max="18" width="22.88"/>
    <col customWidth="1" min="19" max="19" width="17.63"/>
    <col customWidth="1" min="20" max="20" width="21.5"/>
    <col customWidth="1" min="21" max="23" width="10.75"/>
  </cols>
  <sheetData>
    <row r="1">
      <c r="A1" s="32"/>
      <c r="B1" s="33"/>
      <c r="C1" s="33"/>
      <c r="D1" s="33"/>
      <c r="E1" s="33"/>
      <c r="F1" s="33"/>
      <c r="G1" s="34"/>
      <c r="H1" s="34"/>
      <c r="I1" s="34"/>
      <c r="J1" s="34"/>
      <c r="K1" s="34"/>
      <c r="L1" s="34"/>
      <c r="M1" s="33"/>
      <c r="N1" s="33"/>
      <c r="O1" s="33"/>
      <c r="P1" s="33"/>
      <c r="Q1" s="35"/>
      <c r="R1" s="35"/>
      <c r="S1" s="34"/>
      <c r="T1" s="34"/>
      <c r="U1" s="36"/>
      <c r="V1" s="36"/>
      <c r="W1" s="36"/>
      <c r="X1" s="37"/>
      <c r="Y1" s="37"/>
      <c r="Z1" s="37"/>
      <c r="AA1" s="37"/>
    </row>
    <row r="2" ht="39.75" customHeight="1">
      <c r="A2" s="38" t="s">
        <v>230</v>
      </c>
      <c r="G2" s="39"/>
      <c r="H2" s="39"/>
      <c r="I2" s="39"/>
      <c r="J2" s="39"/>
      <c r="K2" s="39"/>
      <c r="L2" s="39"/>
      <c r="M2" s="40"/>
      <c r="N2" s="40"/>
      <c r="O2" s="40"/>
      <c r="P2" s="40"/>
      <c r="Q2" s="7"/>
      <c r="R2" s="7"/>
      <c r="S2" s="39"/>
      <c r="T2" s="39"/>
      <c r="U2" s="8"/>
      <c r="V2" s="8"/>
      <c r="W2" s="8"/>
    </row>
    <row r="3">
      <c r="A3" s="2" t="s">
        <v>231</v>
      </c>
      <c r="B3" s="2" t="s">
        <v>3</v>
      </c>
      <c r="C3" s="4" t="s">
        <v>232</v>
      </c>
      <c r="D3" s="4" t="s">
        <v>233</v>
      </c>
      <c r="E3" s="2" t="s">
        <v>234</v>
      </c>
      <c r="F3" s="2" t="s">
        <v>235</v>
      </c>
      <c r="G3" s="4" t="s">
        <v>16</v>
      </c>
      <c r="H3" s="4" t="s">
        <v>17</v>
      </c>
      <c r="I3" s="4" t="s">
        <v>18</v>
      </c>
      <c r="J3" s="4" t="s">
        <v>19</v>
      </c>
      <c r="K3" s="4" t="s">
        <v>20</v>
      </c>
      <c r="L3" s="4" t="s">
        <v>21</v>
      </c>
      <c r="M3" s="2" t="s">
        <v>22</v>
      </c>
      <c r="N3" s="2" t="s">
        <v>23</v>
      </c>
      <c r="O3" s="2" t="s">
        <v>236</v>
      </c>
      <c r="P3" s="2" t="s">
        <v>237</v>
      </c>
      <c r="Q3" s="3" t="s">
        <v>238</v>
      </c>
      <c r="R3" s="3" t="s">
        <v>239</v>
      </c>
      <c r="S3" s="4" t="s">
        <v>240</v>
      </c>
      <c r="T3" s="41" t="s">
        <v>241</v>
      </c>
      <c r="U3" s="5"/>
      <c r="V3" s="5"/>
      <c r="W3" s="5"/>
      <c r="X3" s="42"/>
      <c r="Y3" s="42"/>
      <c r="Z3" s="42"/>
      <c r="AA3" s="42"/>
    </row>
    <row r="4" ht="241.5" customHeight="1">
      <c r="A4" s="20">
        <v>1.0</v>
      </c>
      <c r="B4" s="20" t="s">
        <v>242</v>
      </c>
      <c r="C4" s="20">
        <v>9.5</v>
      </c>
      <c r="D4" s="20">
        <v>7.0</v>
      </c>
      <c r="E4" s="20">
        <v>2.5</v>
      </c>
      <c r="F4" s="20" t="s">
        <v>243</v>
      </c>
      <c r="G4" s="7">
        <v>2.0</v>
      </c>
      <c r="H4" s="7">
        <v>1.0</v>
      </c>
      <c r="I4" s="7">
        <v>0.5</v>
      </c>
      <c r="J4" s="8"/>
      <c r="K4" s="8"/>
      <c r="L4" s="7">
        <v>2.0</v>
      </c>
      <c r="M4" s="7">
        <v>1.5</v>
      </c>
      <c r="N4" s="7">
        <v>3.0</v>
      </c>
      <c r="O4" s="7" t="s">
        <v>244</v>
      </c>
      <c r="P4" s="7" t="s">
        <v>245</v>
      </c>
      <c r="Q4" s="7" t="s">
        <v>246</v>
      </c>
      <c r="R4" s="7" t="s">
        <v>247</v>
      </c>
      <c r="S4" s="7" t="s">
        <v>248</v>
      </c>
      <c r="T4" s="7" t="s">
        <v>249</v>
      </c>
      <c r="U4" s="8"/>
      <c r="V4" s="8"/>
      <c r="W4" s="8"/>
    </row>
    <row r="5">
      <c r="F5" s="20"/>
      <c r="G5" s="8"/>
      <c r="H5" s="8"/>
      <c r="I5" s="8"/>
      <c r="J5" s="8"/>
      <c r="K5" s="8"/>
      <c r="L5" s="8"/>
      <c r="M5" s="8"/>
      <c r="N5" s="8"/>
      <c r="O5" s="7"/>
      <c r="P5" s="8"/>
      <c r="Q5" s="8"/>
      <c r="R5" s="8"/>
      <c r="S5" s="8"/>
      <c r="T5" s="8"/>
      <c r="U5" s="8"/>
      <c r="V5" s="8"/>
      <c r="W5" s="8"/>
    </row>
    <row r="6">
      <c r="A6" s="43"/>
      <c r="B6" s="43"/>
      <c r="C6" s="44" t="s">
        <v>250</v>
      </c>
      <c r="D6" s="43"/>
      <c r="E6" s="44"/>
      <c r="F6" s="44"/>
      <c r="G6" s="45"/>
      <c r="H6" s="45"/>
      <c r="I6" s="45"/>
      <c r="J6" s="45"/>
      <c r="K6" s="45"/>
      <c r="L6" s="45"/>
      <c r="M6" s="45"/>
      <c r="N6" s="45"/>
      <c r="O6" s="46"/>
      <c r="P6" s="45"/>
      <c r="Q6" s="45"/>
      <c r="R6" s="45"/>
      <c r="S6" s="45"/>
      <c r="T6" s="45"/>
      <c r="U6" s="45"/>
      <c r="V6" s="45"/>
      <c r="W6" s="45"/>
      <c r="X6" s="43"/>
      <c r="Y6" s="43"/>
      <c r="Z6" s="43"/>
      <c r="AA6" s="43"/>
    </row>
    <row r="7">
      <c r="F7" s="20"/>
      <c r="G7" s="8"/>
      <c r="H7" s="8"/>
      <c r="I7" s="8"/>
      <c r="J7" s="8"/>
      <c r="K7" s="8"/>
      <c r="L7" s="8"/>
      <c r="M7" s="8"/>
      <c r="N7" s="8"/>
      <c r="O7" s="8"/>
      <c r="P7" s="8"/>
      <c r="Q7" s="8"/>
      <c r="R7" s="8"/>
      <c r="S7" s="8"/>
      <c r="T7" s="8"/>
      <c r="U7" s="8"/>
      <c r="V7" s="8"/>
      <c r="W7" s="8"/>
    </row>
    <row r="8">
      <c r="A8" s="20">
        <v>2.0</v>
      </c>
      <c r="B8" s="20" t="s">
        <v>251</v>
      </c>
      <c r="C8" s="20" t="s">
        <v>252</v>
      </c>
      <c r="D8" s="20" t="s">
        <v>249</v>
      </c>
      <c r="E8" s="20">
        <v>2.5</v>
      </c>
      <c r="F8" s="47" t="s">
        <v>253</v>
      </c>
      <c r="G8" s="8"/>
      <c r="H8" s="8"/>
      <c r="I8" s="8"/>
      <c r="J8" s="8"/>
      <c r="K8" s="8"/>
      <c r="L8" s="8"/>
      <c r="M8" s="8"/>
      <c r="N8" s="8"/>
      <c r="O8" s="8"/>
      <c r="P8" s="8"/>
      <c r="Q8" s="8"/>
      <c r="R8" s="8"/>
      <c r="S8" s="8"/>
      <c r="T8" s="8"/>
      <c r="U8" s="8"/>
      <c r="V8" s="8"/>
      <c r="W8" s="8"/>
    </row>
    <row r="9">
      <c r="F9" s="20" t="s">
        <v>254</v>
      </c>
      <c r="G9" s="7"/>
      <c r="H9" s="8"/>
      <c r="I9" s="8"/>
      <c r="J9" s="8"/>
      <c r="K9" s="8"/>
      <c r="L9" s="8"/>
      <c r="M9" s="8"/>
      <c r="N9" s="8"/>
      <c r="O9" s="8"/>
      <c r="P9" s="8"/>
      <c r="Q9" s="8"/>
      <c r="R9" s="8"/>
      <c r="S9" s="8"/>
      <c r="T9" s="8"/>
      <c r="U9" s="8"/>
      <c r="V9" s="8"/>
      <c r="W9" s="8"/>
    </row>
    <row r="10">
      <c r="F10" s="20" t="s">
        <v>255</v>
      </c>
      <c r="G10" s="8"/>
      <c r="H10" s="8"/>
      <c r="I10" s="8"/>
      <c r="J10" s="8"/>
      <c r="K10" s="8"/>
      <c r="L10" s="8"/>
      <c r="M10" s="8"/>
      <c r="N10" s="8"/>
      <c r="O10" s="8"/>
      <c r="P10" s="8"/>
      <c r="Q10" s="8"/>
      <c r="R10" s="8"/>
      <c r="S10" s="8"/>
      <c r="T10" s="8"/>
      <c r="U10" s="8"/>
      <c r="V10" s="8"/>
      <c r="W10" s="8"/>
    </row>
    <row r="11">
      <c r="F11" s="20" t="s">
        <v>256</v>
      </c>
      <c r="G11" s="7">
        <v>1.5</v>
      </c>
      <c r="H11" s="7">
        <v>1.0</v>
      </c>
      <c r="I11" s="7">
        <v>1.5</v>
      </c>
      <c r="J11" s="7">
        <v>5.0</v>
      </c>
      <c r="K11" s="7">
        <v>1.5</v>
      </c>
      <c r="L11" s="7">
        <v>1.0</v>
      </c>
      <c r="M11" s="7">
        <v>1.5</v>
      </c>
      <c r="N11" s="7">
        <v>1.0</v>
      </c>
      <c r="O11" s="7" t="s">
        <v>257</v>
      </c>
      <c r="P11" s="7" t="s">
        <v>258</v>
      </c>
      <c r="Q11" s="7" t="s">
        <v>259</v>
      </c>
      <c r="R11" s="7" t="s">
        <v>260</v>
      </c>
      <c r="S11" s="7" t="s">
        <v>261</v>
      </c>
      <c r="T11" s="7">
        <v>13.0</v>
      </c>
      <c r="U11" s="8"/>
      <c r="V11" s="8"/>
      <c r="W11" s="8"/>
    </row>
    <row r="12">
      <c r="F12" s="20" t="s">
        <v>262</v>
      </c>
      <c r="G12" s="8"/>
      <c r="H12" s="8"/>
      <c r="I12" s="8"/>
      <c r="J12" s="8"/>
      <c r="K12" s="8"/>
      <c r="L12" s="8"/>
      <c r="M12" s="8"/>
      <c r="N12" s="8"/>
      <c r="O12" s="7" t="s">
        <v>263</v>
      </c>
      <c r="P12" s="7" t="s">
        <v>264</v>
      </c>
      <c r="Q12" s="7" t="s">
        <v>265</v>
      </c>
      <c r="R12" s="7" t="s">
        <v>266</v>
      </c>
      <c r="S12" s="7" t="s">
        <v>267</v>
      </c>
      <c r="T12" s="8"/>
      <c r="U12" s="8"/>
      <c r="V12" s="8"/>
      <c r="W12" s="8"/>
    </row>
    <row r="13">
      <c r="F13" s="20" t="s">
        <v>268</v>
      </c>
      <c r="G13" s="8"/>
      <c r="H13" s="8"/>
      <c r="I13" s="8"/>
      <c r="J13" s="8"/>
      <c r="K13" s="8"/>
      <c r="L13" s="8"/>
      <c r="M13" s="8"/>
      <c r="N13" s="8"/>
      <c r="O13" s="7" t="s">
        <v>269</v>
      </c>
      <c r="P13" s="7" t="s">
        <v>270</v>
      </c>
      <c r="Q13" s="7" t="s">
        <v>271</v>
      </c>
      <c r="R13" s="7" t="s">
        <v>272</v>
      </c>
      <c r="S13" s="7" t="s">
        <v>273</v>
      </c>
      <c r="T13" s="8"/>
      <c r="U13" s="8"/>
      <c r="V13" s="8"/>
      <c r="W13" s="8"/>
    </row>
    <row r="14">
      <c r="F14" s="20" t="s">
        <v>274</v>
      </c>
      <c r="G14" s="8"/>
      <c r="H14" s="8"/>
      <c r="I14" s="8"/>
      <c r="J14" s="8"/>
      <c r="K14" s="8"/>
      <c r="L14" s="8"/>
      <c r="M14" s="8"/>
      <c r="N14" s="8"/>
      <c r="O14" s="7" t="s">
        <v>275</v>
      </c>
      <c r="P14" s="7" t="s">
        <v>276</v>
      </c>
      <c r="Q14" s="7" t="s">
        <v>277</v>
      </c>
      <c r="R14" s="7" t="s">
        <v>278</v>
      </c>
      <c r="S14" s="7" t="s">
        <v>279</v>
      </c>
      <c r="T14" s="8"/>
      <c r="U14" s="8"/>
      <c r="V14" s="8"/>
      <c r="W14" s="8"/>
    </row>
    <row r="15">
      <c r="F15" s="20" t="s">
        <v>280</v>
      </c>
      <c r="G15" s="8"/>
      <c r="H15" s="8"/>
      <c r="I15" s="8"/>
      <c r="J15" s="8"/>
      <c r="K15" s="8"/>
      <c r="L15" s="8"/>
      <c r="M15" s="8"/>
      <c r="N15" s="8"/>
      <c r="O15" s="7" t="s">
        <v>281</v>
      </c>
      <c r="P15" s="7" t="s">
        <v>282</v>
      </c>
      <c r="Q15" s="7" t="s">
        <v>283</v>
      </c>
      <c r="R15" s="7" t="s">
        <v>284</v>
      </c>
      <c r="S15" s="7" t="s">
        <v>285</v>
      </c>
      <c r="T15" s="8"/>
      <c r="U15" s="8"/>
      <c r="V15" s="8"/>
      <c r="W15" s="8"/>
    </row>
    <row r="16">
      <c r="A16" s="20"/>
      <c r="B16" s="48"/>
      <c r="G16" s="8"/>
      <c r="H16" s="8"/>
      <c r="I16" s="8"/>
      <c r="J16" s="8"/>
      <c r="K16" s="8"/>
      <c r="L16" s="8"/>
      <c r="M16" s="8"/>
      <c r="N16" s="8"/>
      <c r="O16" s="7"/>
      <c r="P16" s="7"/>
      <c r="Q16" s="7"/>
      <c r="R16" s="7"/>
      <c r="S16" s="8"/>
      <c r="T16" s="8"/>
      <c r="U16" s="8"/>
      <c r="V16" s="8"/>
      <c r="W16" s="8"/>
    </row>
    <row r="17">
      <c r="A17" s="20"/>
      <c r="B17" s="20"/>
      <c r="C17" s="20"/>
      <c r="D17" s="20"/>
      <c r="F17" s="20"/>
      <c r="G17" s="7"/>
      <c r="H17" s="7"/>
      <c r="I17" s="7"/>
      <c r="J17" s="7"/>
      <c r="K17" s="7"/>
      <c r="L17" s="7"/>
      <c r="M17" s="7"/>
      <c r="N17" s="7"/>
      <c r="O17" s="7" t="s">
        <v>286</v>
      </c>
      <c r="P17" s="7" t="s">
        <v>287</v>
      </c>
      <c r="Q17" s="7" t="s">
        <v>288</v>
      </c>
      <c r="R17" s="7" t="s">
        <v>289</v>
      </c>
      <c r="S17" s="8"/>
      <c r="T17" s="8"/>
      <c r="U17" s="8"/>
      <c r="V17" s="8"/>
      <c r="W17" s="8"/>
    </row>
    <row r="18">
      <c r="A18" s="43"/>
      <c r="B18" s="43"/>
      <c r="C18" s="43"/>
      <c r="D18" s="44" t="s">
        <v>290</v>
      </c>
      <c r="E18" s="43"/>
      <c r="F18" s="43"/>
      <c r="G18" s="45"/>
      <c r="H18" s="45"/>
      <c r="I18" s="45"/>
      <c r="J18" s="45"/>
      <c r="K18" s="45"/>
      <c r="L18" s="45"/>
      <c r="M18" s="45"/>
      <c r="N18" s="45"/>
      <c r="O18" s="46" t="s">
        <v>291</v>
      </c>
      <c r="P18" s="46"/>
      <c r="Q18" s="45"/>
      <c r="R18" s="45"/>
      <c r="S18" s="45"/>
      <c r="T18" s="45"/>
      <c r="U18" s="45"/>
      <c r="V18" s="45"/>
      <c r="W18" s="45"/>
      <c r="X18" s="43"/>
      <c r="Y18" s="43"/>
      <c r="Z18" s="43"/>
      <c r="AA18" s="43"/>
    </row>
    <row r="19">
      <c r="G19" s="8"/>
      <c r="H19" s="8"/>
      <c r="I19" s="8"/>
      <c r="J19" s="8"/>
      <c r="K19" s="8"/>
      <c r="L19" s="8"/>
      <c r="M19" s="8"/>
      <c r="N19" s="8"/>
      <c r="O19" s="8"/>
      <c r="P19" s="7"/>
      <c r="Q19" s="8"/>
      <c r="R19" s="8"/>
      <c r="S19" s="8"/>
      <c r="T19" s="8"/>
      <c r="U19" s="8"/>
      <c r="V19" s="8"/>
      <c r="W19" s="8"/>
    </row>
    <row r="20">
      <c r="G20" s="8"/>
      <c r="H20" s="8"/>
      <c r="I20" s="8"/>
      <c r="J20" s="8"/>
      <c r="K20" s="8"/>
      <c r="L20" s="8"/>
      <c r="M20" s="8"/>
      <c r="N20" s="8"/>
      <c r="O20" s="8"/>
      <c r="P20" s="7"/>
      <c r="Q20" s="8"/>
      <c r="R20" s="8"/>
      <c r="S20" s="8"/>
      <c r="T20" s="8"/>
      <c r="U20" s="8"/>
      <c r="V20" s="8"/>
      <c r="W20" s="8"/>
    </row>
    <row r="21">
      <c r="G21" s="8"/>
      <c r="H21" s="8"/>
      <c r="I21" s="8"/>
      <c r="J21" s="8"/>
      <c r="K21" s="8"/>
      <c r="L21" s="8"/>
      <c r="M21" s="8"/>
      <c r="N21" s="8"/>
      <c r="O21" s="8"/>
      <c r="P21" s="8"/>
      <c r="Q21" s="8"/>
      <c r="R21" s="8"/>
      <c r="S21" s="8"/>
      <c r="T21" s="8"/>
      <c r="U21" s="8"/>
      <c r="V21" s="8"/>
      <c r="W21" s="8"/>
    </row>
    <row r="22">
      <c r="A22" s="20">
        <v>3.0</v>
      </c>
      <c r="B22" s="20" t="s">
        <v>292</v>
      </c>
      <c r="C22" s="20" t="s">
        <v>293</v>
      </c>
      <c r="D22" s="20" t="s">
        <v>252</v>
      </c>
      <c r="F22" s="20" t="s">
        <v>294</v>
      </c>
      <c r="G22" s="8"/>
      <c r="H22" s="8"/>
      <c r="I22" s="8"/>
      <c r="J22" s="8"/>
      <c r="K22" s="8"/>
      <c r="L22" s="8"/>
      <c r="M22" s="8"/>
      <c r="N22" s="8"/>
      <c r="O22" s="8"/>
      <c r="P22" s="8"/>
      <c r="Q22" s="8"/>
      <c r="R22" s="8"/>
      <c r="S22" s="8"/>
      <c r="T22" s="8"/>
      <c r="U22" s="8"/>
      <c r="V22" s="8"/>
      <c r="W22" s="8"/>
    </row>
    <row r="23">
      <c r="F23" s="20" t="s">
        <v>295</v>
      </c>
      <c r="G23" s="7">
        <v>1.0</v>
      </c>
      <c r="H23" s="7">
        <v>1.0</v>
      </c>
      <c r="I23" s="7">
        <v>1.5</v>
      </c>
      <c r="J23" s="7">
        <v>6.0</v>
      </c>
      <c r="K23" s="7">
        <v>2.0</v>
      </c>
      <c r="L23" s="7">
        <v>1.5</v>
      </c>
      <c r="M23" s="7">
        <v>0.5</v>
      </c>
      <c r="N23" s="7">
        <v>1.0</v>
      </c>
      <c r="O23" s="7" t="s">
        <v>296</v>
      </c>
      <c r="P23" s="7" t="s">
        <v>297</v>
      </c>
      <c r="Q23" s="7" t="s">
        <v>298</v>
      </c>
      <c r="R23" s="8"/>
      <c r="S23" s="8"/>
      <c r="T23" s="8"/>
      <c r="U23" s="8"/>
      <c r="V23" s="8"/>
      <c r="W23" s="8"/>
    </row>
    <row r="24">
      <c r="F24" s="20" t="s">
        <v>299</v>
      </c>
      <c r="G24" s="8"/>
      <c r="H24" s="8"/>
      <c r="I24" s="8"/>
      <c r="J24" s="8"/>
      <c r="K24" s="8"/>
      <c r="L24" s="8"/>
      <c r="M24" s="8"/>
      <c r="N24" s="8"/>
      <c r="O24" s="7" t="s">
        <v>300</v>
      </c>
      <c r="P24" s="7" t="s">
        <v>301</v>
      </c>
      <c r="Q24" s="7" t="s">
        <v>302</v>
      </c>
      <c r="R24" s="8"/>
      <c r="S24" s="8"/>
      <c r="T24" s="7">
        <v>14.0</v>
      </c>
      <c r="U24" s="8"/>
      <c r="V24" s="8"/>
      <c r="W24" s="8"/>
    </row>
    <row r="25">
      <c r="B25" s="48"/>
      <c r="F25" s="20" t="s">
        <v>303</v>
      </c>
      <c r="G25" s="8"/>
      <c r="H25" s="8"/>
      <c r="I25" s="8"/>
      <c r="J25" s="8"/>
      <c r="K25" s="8"/>
      <c r="L25" s="8"/>
      <c r="M25" s="8"/>
      <c r="N25" s="8"/>
      <c r="O25" s="7" t="s">
        <v>304</v>
      </c>
      <c r="P25" s="7" t="s">
        <v>305</v>
      </c>
      <c r="Q25" s="7" t="s">
        <v>306</v>
      </c>
      <c r="R25" s="8"/>
      <c r="S25" s="8"/>
      <c r="T25" s="8"/>
      <c r="U25" s="8"/>
      <c r="V25" s="8"/>
      <c r="W25" s="8"/>
    </row>
    <row r="26">
      <c r="F26" s="20" t="s">
        <v>307</v>
      </c>
      <c r="G26" s="8"/>
      <c r="H26" s="8"/>
      <c r="I26" s="8"/>
      <c r="J26" s="8"/>
      <c r="K26" s="8"/>
      <c r="L26" s="8"/>
      <c r="M26" s="8"/>
      <c r="N26" s="8"/>
      <c r="O26" s="7" t="s">
        <v>308</v>
      </c>
      <c r="P26" s="7" t="s">
        <v>309</v>
      </c>
      <c r="Q26" s="7" t="s">
        <v>310</v>
      </c>
      <c r="R26" s="8"/>
      <c r="S26" s="8"/>
      <c r="T26" s="8"/>
      <c r="U26" s="8"/>
      <c r="V26" s="8"/>
      <c r="W26" s="8"/>
    </row>
    <row r="27">
      <c r="A27" s="20"/>
      <c r="B27" s="20"/>
      <c r="F27" s="20" t="s">
        <v>311</v>
      </c>
      <c r="G27" s="8"/>
      <c r="H27" s="8"/>
      <c r="I27" s="8"/>
      <c r="J27" s="8"/>
      <c r="K27" s="8"/>
      <c r="L27" s="8"/>
      <c r="M27" s="8"/>
      <c r="N27" s="8"/>
      <c r="O27" s="7" t="s">
        <v>312</v>
      </c>
      <c r="P27" s="7" t="s">
        <v>313</v>
      </c>
      <c r="Q27" s="7" t="s">
        <v>314</v>
      </c>
      <c r="R27" s="8"/>
      <c r="S27" s="8"/>
      <c r="T27" s="8"/>
      <c r="U27" s="8"/>
      <c r="V27" s="8"/>
      <c r="W27" s="8"/>
    </row>
    <row r="28">
      <c r="F28" s="20" t="s">
        <v>315</v>
      </c>
      <c r="G28" s="8"/>
      <c r="H28" s="8"/>
      <c r="I28" s="8"/>
      <c r="J28" s="8"/>
      <c r="K28" s="8"/>
      <c r="L28" s="8"/>
      <c r="M28" s="8"/>
      <c r="N28" s="8"/>
      <c r="O28" s="8"/>
      <c r="P28" s="7" t="s">
        <v>316</v>
      </c>
      <c r="Q28" s="7" t="s">
        <v>317</v>
      </c>
      <c r="R28" s="8"/>
      <c r="S28" s="8"/>
      <c r="T28" s="8"/>
      <c r="U28" s="8"/>
      <c r="V28" s="8"/>
      <c r="W28" s="8"/>
    </row>
    <row r="29">
      <c r="F29" s="20" t="s">
        <v>318</v>
      </c>
      <c r="G29" s="8"/>
      <c r="H29" s="8"/>
      <c r="I29" s="8"/>
      <c r="J29" s="8"/>
      <c r="K29" s="8"/>
      <c r="L29" s="8"/>
      <c r="M29" s="8"/>
      <c r="N29" s="8"/>
      <c r="O29" s="8"/>
      <c r="P29" s="7" t="s">
        <v>319</v>
      </c>
      <c r="Q29" s="8"/>
      <c r="R29" s="8"/>
      <c r="S29" s="8"/>
      <c r="T29" s="8"/>
      <c r="U29" s="8"/>
      <c r="V29" s="8"/>
      <c r="W29" s="8"/>
    </row>
    <row r="30">
      <c r="F30" s="20" t="s">
        <v>320</v>
      </c>
      <c r="G30" s="8"/>
      <c r="H30" s="8"/>
      <c r="I30" s="8"/>
      <c r="J30" s="8"/>
      <c r="K30" s="8"/>
      <c r="L30" s="8"/>
      <c r="M30" s="8"/>
      <c r="N30" s="8"/>
      <c r="O30" s="8"/>
      <c r="P30" s="8"/>
      <c r="Q30" s="8"/>
      <c r="R30" s="8"/>
      <c r="S30" s="8"/>
      <c r="T30" s="8"/>
      <c r="U30" s="8"/>
      <c r="V30" s="8"/>
      <c r="W30" s="8"/>
    </row>
    <row r="31">
      <c r="F31" s="20" t="s">
        <v>321</v>
      </c>
      <c r="G31" s="8"/>
      <c r="H31" s="8"/>
      <c r="I31" s="8"/>
      <c r="J31" s="8"/>
      <c r="K31" s="8"/>
      <c r="L31" s="8"/>
      <c r="M31" s="8"/>
      <c r="N31" s="8"/>
      <c r="O31" s="8"/>
      <c r="P31" s="8"/>
      <c r="Q31" s="8"/>
      <c r="R31" s="8"/>
      <c r="S31" s="8"/>
      <c r="T31" s="8"/>
      <c r="U31" s="8"/>
      <c r="V31" s="8"/>
      <c r="W31" s="8"/>
    </row>
    <row r="32">
      <c r="F32" s="20" t="s">
        <v>322</v>
      </c>
      <c r="G32" s="8"/>
      <c r="H32" s="8"/>
      <c r="I32" s="8"/>
      <c r="J32" s="8"/>
      <c r="K32" s="8"/>
      <c r="L32" s="8"/>
      <c r="M32" s="8"/>
      <c r="N32" s="8"/>
      <c r="O32" s="8"/>
      <c r="P32" s="8"/>
      <c r="Q32" s="8"/>
      <c r="R32" s="8"/>
      <c r="S32" s="8"/>
      <c r="T32" s="8"/>
      <c r="U32" s="8"/>
      <c r="V32" s="8"/>
      <c r="W32" s="8"/>
    </row>
    <row r="33">
      <c r="F33" s="20" t="s">
        <v>323</v>
      </c>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A39" s="43"/>
      <c r="B39" s="43"/>
      <c r="C39" s="44" t="s">
        <v>324</v>
      </c>
      <c r="D39" s="43"/>
      <c r="E39" s="43"/>
      <c r="F39" s="43"/>
      <c r="G39" s="45"/>
      <c r="H39" s="45"/>
      <c r="I39" s="45"/>
      <c r="J39" s="45"/>
      <c r="K39" s="45"/>
      <c r="L39" s="45"/>
      <c r="M39" s="45"/>
      <c r="N39" s="45"/>
      <c r="O39" s="45"/>
      <c r="P39" s="45"/>
      <c r="Q39" s="45"/>
      <c r="R39" s="45"/>
      <c r="S39" s="45"/>
      <c r="T39" s="45"/>
      <c r="U39" s="45"/>
      <c r="V39" s="45"/>
      <c r="W39" s="45"/>
      <c r="X39" s="43"/>
      <c r="Y39" s="43"/>
      <c r="Z39" s="43"/>
      <c r="AA39" s="43"/>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A45" s="20">
        <v>4.0</v>
      </c>
      <c r="B45" s="20" t="s">
        <v>128</v>
      </c>
      <c r="C45" s="20">
        <v>15.5</v>
      </c>
      <c r="D45" s="20" t="s">
        <v>325</v>
      </c>
      <c r="E45" s="20">
        <v>2.5</v>
      </c>
      <c r="F45" s="20" t="s">
        <v>326</v>
      </c>
      <c r="G45" s="7">
        <v>0.5</v>
      </c>
      <c r="H45" s="7">
        <v>1.0</v>
      </c>
      <c r="I45" s="7">
        <v>1.0</v>
      </c>
      <c r="J45" s="7">
        <v>4.0</v>
      </c>
      <c r="K45" s="7">
        <v>2.5</v>
      </c>
      <c r="L45" s="7">
        <v>2.0</v>
      </c>
      <c r="M45" s="8"/>
      <c r="N45" s="7">
        <v>1.0</v>
      </c>
      <c r="O45" s="7" t="s">
        <v>327</v>
      </c>
      <c r="P45" s="7" t="s">
        <v>328</v>
      </c>
      <c r="Q45" s="7" t="s">
        <v>329</v>
      </c>
      <c r="R45" s="8"/>
      <c r="S45" s="7" t="s">
        <v>330</v>
      </c>
      <c r="T45" s="8"/>
      <c r="U45" s="8"/>
      <c r="V45" s="8"/>
      <c r="W45" s="8"/>
    </row>
    <row r="46">
      <c r="F46" s="20" t="s">
        <v>331</v>
      </c>
      <c r="G46" s="8"/>
      <c r="H46" s="8"/>
      <c r="I46" s="8"/>
      <c r="J46" s="8"/>
      <c r="K46" s="8"/>
      <c r="L46" s="8"/>
      <c r="M46" s="8"/>
      <c r="N46" s="8"/>
      <c r="O46" s="7" t="s">
        <v>332</v>
      </c>
      <c r="P46" s="7" t="s">
        <v>333</v>
      </c>
      <c r="Q46" s="7" t="s">
        <v>334</v>
      </c>
      <c r="R46" s="8"/>
      <c r="S46" s="7" t="s">
        <v>335</v>
      </c>
      <c r="T46" s="8"/>
      <c r="U46" s="8"/>
      <c r="V46" s="8"/>
      <c r="W46" s="8"/>
    </row>
    <row r="47">
      <c r="F47" s="20" t="s">
        <v>336</v>
      </c>
      <c r="G47" s="8"/>
      <c r="H47" s="8"/>
      <c r="I47" s="8"/>
      <c r="J47" s="8"/>
      <c r="K47" s="8"/>
      <c r="L47" s="8"/>
      <c r="M47" s="8"/>
      <c r="N47" s="8"/>
      <c r="O47" s="7" t="s">
        <v>337</v>
      </c>
      <c r="P47" s="7" t="s">
        <v>338</v>
      </c>
      <c r="Q47" s="7" t="s">
        <v>339</v>
      </c>
      <c r="R47" s="8"/>
      <c r="S47" s="7" t="s">
        <v>340</v>
      </c>
      <c r="T47" s="8"/>
      <c r="U47" s="8"/>
      <c r="V47" s="8"/>
      <c r="W47" s="8"/>
    </row>
    <row r="48">
      <c r="F48" s="20" t="s">
        <v>341</v>
      </c>
      <c r="G48" s="8"/>
      <c r="H48" s="8"/>
      <c r="I48" s="8"/>
      <c r="J48" s="8"/>
      <c r="K48" s="8"/>
      <c r="L48" s="8"/>
      <c r="M48" s="8"/>
      <c r="N48" s="8"/>
      <c r="O48" s="7" t="s">
        <v>342</v>
      </c>
      <c r="P48" s="7" t="s">
        <v>343</v>
      </c>
      <c r="Q48" s="7" t="s">
        <v>344</v>
      </c>
      <c r="R48" s="8"/>
      <c r="S48" s="7" t="s">
        <v>345</v>
      </c>
      <c r="T48" s="8"/>
      <c r="U48" s="8"/>
      <c r="V48" s="8"/>
      <c r="W48" s="8"/>
    </row>
    <row r="49">
      <c r="F49" s="20" t="s">
        <v>346</v>
      </c>
      <c r="G49" s="8"/>
      <c r="H49" s="8"/>
      <c r="I49" s="8"/>
      <c r="J49" s="8"/>
      <c r="K49" s="8"/>
      <c r="L49" s="8"/>
      <c r="M49" s="8"/>
      <c r="N49" s="8"/>
      <c r="O49" s="7" t="s">
        <v>347</v>
      </c>
      <c r="P49" s="7" t="s">
        <v>348</v>
      </c>
      <c r="Q49" s="7" t="s">
        <v>349</v>
      </c>
      <c r="R49" s="8"/>
      <c r="S49" s="7" t="s">
        <v>350</v>
      </c>
      <c r="T49" s="8"/>
      <c r="U49" s="8"/>
      <c r="V49" s="8"/>
      <c r="W49" s="8"/>
    </row>
    <row r="50">
      <c r="F50" s="20" t="s">
        <v>351</v>
      </c>
      <c r="G50" s="8"/>
      <c r="H50" s="8"/>
      <c r="I50" s="8"/>
      <c r="J50" s="8"/>
      <c r="K50" s="8"/>
      <c r="L50" s="8"/>
      <c r="M50" s="8"/>
      <c r="N50" s="8"/>
      <c r="O50" s="7" t="s">
        <v>352</v>
      </c>
      <c r="P50" s="7" t="s">
        <v>353</v>
      </c>
      <c r="Q50" s="7" t="s">
        <v>354</v>
      </c>
      <c r="R50" s="8"/>
      <c r="S50" s="7" t="s">
        <v>355</v>
      </c>
      <c r="T50" s="8"/>
      <c r="U50" s="8"/>
      <c r="V50" s="8"/>
      <c r="W50" s="8"/>
    </row>
    <row r="51">
      <c r="F51" s="20" t="s">
        <v>356</v>
      </c>
      <c r="G51" s="8"/>
      <c r="H51" s="8"/>
      <c r="I51" s="8"/>
      <c r="J51" s="8"/>
      <c r="K51" s="8"/>
      <c r="L51" s="8"/>
      <c r="M51" s="8"/>
      <c r="N51" s="8"/>
      <c r="O51" s="7" t="s">
        <v>357</v>
      </c>
      <c r="P51" s="7" t="s">
        <v>358</v>
      </c>
      <c r="Q51" s="7" t="s">
        <v>359</v>
      </c>
      <c r="R51" s="8"/>
      <c r="S51" s="8"/>
      <c r="T51" s="8"/>
      <c r="U51" s="8"/>
      <c r="V51" s="8"/>
      <c r="W51" s="8"/>
    </row>
    <row r="52">
      <c r="F52" s="20" t="s">
        <v>360</v>
      </c>
      <c r="G52" s="8"/>
      <c r="H52" s="8"/>
      <c r="I52" s="8"/>
      <c r="J52" s="8"/>
      <c r="K52" s="8"/>
      <c r="L52" s="8"/>
      <c r="M52" s="8"/>
      <c r="N52" s="8"/>
      <c r="O52" s="8"/>
      <c r="P52" s="7" t="s">
        <v>361</v>
      </c>
      <c r="Q52" s="8"/>
      <c r="R52" s="8"/>
      <c r="S52" s="8"/>
      <c r="T52" s="8"/>
      <c r="U52" s="8"/>
      <c r="V52" s="8"/>
      <c r="W52" s="8"/>
    </row>
    <row r="53">
      <c r="F53" s="20" t="s">
        <v>362</v>
      </c>
      <c r="G53" s="8"/>
      <c r="H53" s="8"/>
      <c r="I53" s="8"/>
      <c r="J53" s="8"/>
      <c r="K53" s="8"/>
      <c r="L53" s="8"/>
      <c r="M53" s="8"/>
      <c r="N53" s="8"/>
      <c r="O53" s="8"/>
      <c r="P53" s="7" t="s">
        <v>363</v>
      </c>
      <c r="Q53" s="8"/>
      <c r="R53" s="8"/>
      <c r="S53" s="8"/>
      <c r="T53" s="8"/>
      <c r="U53" s="8"/>
      <c r="V53" s="8"/>
      <c r="W53" s="8"/>
    </row>
    <row r="54">
      <c r="F54" s="20" t="s">
        <v>364</v>
      </c>
      <c r="G54" s="8"/>
      <c r="H54" s="8"/>
      <c r="I54" s="8"/>
      <c r="J54" s="8"/>
      <c r="K54" s="8"/>
      <c r="L54" s="8"/>
      <c r="M54" s="8"/>
      <c r="N54" s="8"/>
      <c r="O54" s="8"/>
      <c r="P54" s="8"/>
      <c r="Q54" s="8"/>
      <c r="R54" s="8"/>
      <c r="S54" s="8"/>
      <c r="T54" s="8"/>
      <c r="U54" s="8"/>
      <c r="V54" s="8"/>
      <c r="W54" s="8"/>
    </row>
    <row r="55">
      <c r="F55" s="20" t="s">
        <v>365</v>
      </c>
      <c r="G55" s="8"/>
      <c r="H55" s="8"/>
      <c r="I55" s="8"/>
      <c r="J55" s="8"/>
      <c r="K55" s="8"/>
      <c r="L55" s="8"/>
      <c r="M55" s="8"/>
      <c r="N55" s="8"/>
      <c r="O55" s="8"/>
      <c r="P55" s="8"/>
      <c r="Q55" s="8"/>
      <c r="R55" s="8"/>
      <c r="S55" s="8"/>
      <c r="T55" s="8"/>
      <c r="U55" s="8"/>
      <c r="V55" s="8"/>
      <c r="W55" s="8"/>
    </row>
    <row r="56">
      <c r="F56" s="20" t="s">
        <v>366</v>
      </c>
      <c r="G56" s="8"/>
      <c r="H56" s="8"/>
      <c r="I56" s="8"/>
      <c r="J56" s="8"/>
      <c r="K56" s="8"/>
      <c r="L56" s="8"/>
      <c r="M56" s="8"/>
      <c r="N56" s="8"/>
      <c r="O56" s="8"/>
      <c r="P56" s="8"/>
      <c r="Q56" s="8"/>
      <c r="R56" s="8"/>
      <c r="S56" s="8"/>
      <c r="T56" s="8"/>
      <c r="U56" s="8"/>
      <c r="V56" s="8"/>
      <c r="W56" s="8"/>
    </row>
    <row r="57">
      <c r="F57" s="20" t="s">
        <v>367</v>
      </c>
      <c r="G57" s="8"/>
      <c r="H57" s="8"/>
      <c r="I57" s="8"/>
      <c r="J57" s="8"/>
      <c r="K57" s="8"/>
      <c r="L57" s="8"/>
      <c r="M57" s="8"/>
      <c r="N57" s="8"/>
      <c r="O57" s="8"/>
      <c r="P57" s="8"/>
      <c r="Q57" s="8"/>
      <c r="R57" s="8"/>
      <c r="S57" s="8"/>
      <c r="T57" s="8"/>
      <c r="U57" s="8"/>
      <c r="V57" s="8"/>
      <c r="W57" s="8"/>
    </row>
    <row r="58">
      <c r="F58" s="20" t="s">
        <v>368</v>
      </c>
      <c r="G58" s="8"/>
      <c r="H58" s="8"/>
      <c r="I58" s="8"/>
      <c r="J58" s="8"/>
      <c r="K58" s="8"/>
      <c r="L58" s="8"/>
      <c r="M58" s="8"/>
      <c r="N58" s="8"/>
      <c r="O58" s="8"/>
      <c r="P58" s="8"/>
      <c r="Q58" s="8"/>
      <c r="R58" s="8"/>
      <c r="S58" s="8"/>
      <c r="T58" s="8"/>
      <c r="U58" s="8"/>
      <c r="V58" s="8"/>
      <c r="W58" s="8"/>
    </row>
    <row r="59">
      <c r="F59" s="20" t="s">
        <v>369</v>
      </c>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A61" s="43"/>
      <c r="B61" s="43"/>
      <c r="C61" s="44" t="s">
        <v>370</v>
      </c>
      <c r="D61" s="43"/>
      <c r="E61" s="43"/>
      <c r="F61" s="43"/>
      <c r="G61" s="45"/>
      <c r="H61" s="45"/>
      <c r="I61" s="45"/>
      <c r="J61" s="45"/>
      <c r="K61" s="45"/>
      <c r="L61" s="45"/>
      <c r="M61" s="45"/>
      <c r="N61" s="45"/>
      <c r="O61" s="45"/>
      <c r="P61" s="45"/>
      <c r="Q61" s="45"/>
      <c r="R61" s="45"/>
      <c r="S61" s="45"/>
      <c r="T61" s="45"/>
      <c r="U61" s="45"/>
      <c r="V61" s="45"/>
      <c r="W61" s="45"/>
      <c r="X61" s="43"/>
      <c r="Y61" s="43"/>
      <c r="Z61" s="43"/>
      <c r="AA61" s="43"/>
    </row>
    <row r="62">
      <c r="A62" s="20">
        <v>5.0</v>
      </c>
      <c r="B62" s="20" t="s">
        <v>371</v>
      </c>
      <c r="C62" s="20" t="s">
        <v>372</v>
      </c>
      <c r="D62" s="20" t="s">
        <v>373</v>
      </c>
      <c r="E62" s="20">
        <v>1.0</v>
      </c>
      <c r="F62" s="20" t="s">
        <v>374</v>
      </c>
      <c r="G62" s="7">
        <v>2.0</v>
      </c>
      <c r="H62" s="7">
        <v>1.0</v>
      </c>
      <c r="I62" s="7">
        <v>1.5</v>
      </c>
      <c r="J62" s="7">
        <v>6.0</v>
      </c>
      <c r="K62" s="7">
        <v>2.0</v>
      </c>
      <c r="L62" s="7">
        <v>1.0</v>
      </c>
      <c r="M62" s="7">
        <v>1.0</v>
      </c>
      <c r="N62" s="7">
        <v>1.5</v>
      </c>
      <c r="O62" s="17" t="s">
        <v>375</v>
      </c>
      <c r="P62" s="7" t="s">
        <v>376</v>
      </c>
      <c r="Q62" s="7" t="s">
        <v>377</v>
      </c>
      <c r="R62" s="7" t="s">
        <v>378</v>
      </c>
      <c r="S62" s="7" t="s">
        <v>379</v>
      </c>
      <c r="T62" s="7" t="s">
        <v>380</v>
      </c>
      <c r="U62" s="8"/>
      <c r="V62" s="7"/>
      <c r="W62" s="8"/>
    </row>
    <row r="63">
      <c r="G63" s="8"/>
      <c r="H63" s="8"/>
      <c r="I63" s="8"/>
      <c r="J63" s="8"/>
      <c r="K63" s="8"/>
      <c r="L63" s="8"/>
      <c r="M63" s="8"/>
      <c r="N63" s="8"/>
      <c r="O63" s="8"/>
      <c r="P63" s="8"/>
      <c r="Q63" s="8"/>
      <c r="R63" s="8"/>
      <c r="S63" s="8"/>
      <c r="T63" s="8"/>
      <c r="U63" s="8"/>
      <c r="V63" s="8"/>
      <c r="W63" s="8"/>
    </row>
    <row r="64">
      <c r="A64" s="43"/>
      <c r="B64" s="44" t="s">
        <v>381</v>
      </c>
      <c r="C64" s="43"/>
      <c r="D64" s="43"/>
      <c r="E64" s="43"/>
      <c r="F64" s="43"/>
      <c r="G64" s="45"/>
      <c r="H64" s="45"/>
      <c r="I64" s="45"/>
      <c r="J64" s="45"/>
      <c r="K64" s="45"/>
      <c r="L64" s="45"/>
      <c r="M64" s="45"/>
      <c r="N64" s="45"/>
      <c r="O64" s="45"/>
      <c r="P64" s="45"/>
      <c r="Q64" s="45"/>
      <c r="R64" s="45"/>
      <c r="S64" s="45"/>
      <c r="T64" s="45"/>
      <c r="U64" s="45"/>
      <c r="V64" s="45"/>
      <c r="W64" s="45"/>
      <c r="X64" s="43"/>
      <c r="Y64" s="43"/>
      <c r="Z64" s="43"/>
      <c r="AA64" s="43"/>
    </row>
    <row r="65">
      <c r="D65" s="7"/>
      <c r="F65" s="20" t="s">
        <v>382</v>
      </c>
      <c r="G65" s="7">
        <v>1.0</v>
      </c>
      <c r="H65" s="7">
        <v>2.0</v>
      </c>
      <c r="I65" s="8"/>
      <c r="J65" s="7">
        <v>5.0</v>
      </c>
      <c r="K65" s="7">
        <v>2.0</v>
      </c>
      <c r="L65" s="7">
        <v>6.5</v>
      </c>
      <c r="M65" s="7">
        <v>1.0</v>
      </c>
      <c r="N65" s="7">
        <v>1.5</v>
      </c>
      <c r="O65" s="7" t="s">
        <v>383</v>
      </c>
      <c r="P65" s="7" t="s">
        <v>384</v>
      </c>
      <c r="Q65" s="7" t="s">
        <v>385</v>
      </c>
      <c r="R65" s="8"/>
      <c r="S65" s="8"/>
      <c r="T65" s="8"/>
      <c r="U65" s="8"/>
      <c r="V65" s="8"/>
      <c r="W65" s="8"/>
    </row>
    <row r="66">
      <c r="A66" s="7">
        <v>6.0</v>
      </c>
      <c r="B66" s="7" t="s">
        <v>170</v>
      </c>
      <c r="C66" s="20">
        <v>23.0</v>
      </c>
      <c r="D66" s="20">
        <v>19.0</v>
      </c>
      <c r="E66" s="20">
        <v>4.0</v>
      </c>
      <c r="F66" s="20" t="s">
        <v>386</v>
      </c>
      <c r="G66" s="8"/>
      <c r="H66" s="8"/>
      <c r="I66" s="8"/>
      <c r="J66" s="8"/>
      <c r="K66" s="8"/>
      <c r="L66" s="8"/>
      <c r="M66" s="8"/>
      <c r="N66" s="8"/>
      <c r="O66" s="8"/>
      <c r="P66" s="8"/>
      <c r="Q66" s="8"/>
      <c r="R66" s="8"/>
      <c r="S66" s="8"/>
      <c r="T66" s="8"/>
      <c r="U66" s="8"/>
      <c r="V66" s="8"/>
      <c r="W66" s="8"/>
    </row>
    <row r="67">
      <c r="F67" s="20" t="s">
        <v>387</v>
      </c>
      <c r="G67" s="8"/>
      <c r="H67" s="8"/>
      <c r="I67" s="8"/>
      <c r="J67" s="8"/>
      <c r="K67" s="8"/>
      <c r="L67" s="8"/>
      <c r="M67" s="8"/>
      <c r="N67" s="8"/>
      <c r="O67" s="8"/>
      <c r="P67" s="8"/>
      <c r="Q67" s="8"/>
      <c r="R67" s="8"/>
      <c r="S67" s="8"/>
      <c r="T67" s="8"/>
      <c r="U67" s="8"/>
      <c r="V67" s="8"/>
      <c r="W67" s="8"/>
    </row>
    <row r="68">
      <c r="F68" s="20" t="s">
        <v>388</v>
      </c>
      <c r="G68" s="8"/>
      <c r="H68" s="8"/>
      <c r="I68" s="8"/>
      <c r="J68" s="8"/>
      <c r="K68" s="8"/>
      <c r="L68" s="8"/>
      <c r="M68" s="8"/>
      <c r="N68" s="8"/>
      <c r="O68" s="8"/>
      <c r="P68" s="8"/>
      <c r="Q68" s="8"/>
      <c r="R68" s="8"/>
      <c r="S68" s="8"/>
      <c r="T68" s="8"/>
      <c r="U68" s="8"/>
      <c r="V68" s="8"/>
      <c r="W68" s="8"/>
    </row>
    <row r="69">
      <c r="F69" s="20" t="s">
        <v>389</v>
      </c>
      <c r="G69" s="8"/>
      <c r="H69" s="8"/>
      <c r="I69" s="8"/>
      <c r="J69" s="8"/>
      <c r="K69" s="8"/>
      <c r="L69" s="8"/>
      <c r="M69" s="8"/>
      <c r="N69" s="8"/>
      <c r="O69" s="8"/>
      <c r="P69" s="8"/>
      <c r="Q69" s="8"/>
      <c r="R69" s="8"/>
      <c r="S69" s="8"/>
      <c r="T69" s="8"/>
      <c r="U69" s="8"/>
      <c r="V69" s="8"/>
      <c r="W69" s="8"/>
    </row>
    <row r="70">
      <c r="F70" s="20" t="s">
        <v>390</v>
      </c>
      <c r="G70" s="8"/>
      <c r="H70" s="8"/>
      <c r="I70" s="8"/>
      <c r="J70" s="8"/>
      <c r="K70" s="8"/>
      <c r="L70" s="8"/>
      <c r="M70" s="8"/>
      <c r="N70" s="8"/>
      <c r="O70" s="8"/>
      <c r="P70" s="8"/>
      <c r="Q70" s="8"/>
      <c r="R70" s="8"/>
      <c r="S70" s="8"/>
      <c r="T70" s="8"/>
      <c r="U70" s="8"/>
      <c r="V70" s="8"/>
      <c r="W70" s="8"/>
    </row>
    <row r="71">
      <c r="F71" s="20" t="s">
        <v>391</v>
      </c>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row r="1003">
      <c r="G1003" s="8"/>
      <c r="H1003" s="8"/>
      <c r="I1003" s="8"/>
      <c r="J1003" s="8"/>
      <c r="K1003" s="8"/>
      <c r="L1003" s="8"/>
      <c r="M1003" s="8"/>
      <c r="N1003" s="8"/>
      <c r="O1003" s="8"/>
      <c r="P1003" s="8"/>
      <c r="Q1003" s="8"/>
      <c r="R1003" s="8"/>
      <c r="S1003" s="8"/>
      <c r="T1003" s="8"/>
      <c r="U1003" s="8"/>
      <c r="V1003" s="8"/>
      <c r="W1003" s="8"/>
    </row>
    <row r="1004">
      <c r="G1004" s="8"/>
      <c r="H1004" s="8"/>
      <c r="I1004" s="8"/>
      <c r="J1004" s="8"/>
      <c r="K1004" s="8"/>
      <c r="L1004" s="8"/>
      <c r="M1004" s="8"/>
      <c r="N1004" s="8"/>
      <c r="O1004" s="8"/>
      <c r="P1004" s="8"/>
      <c r="Q1004" s="8"/>
      <c r="R1004" s="8"/>
      <c r="S1004" s="8"/>
      <c r="T1004" s="8"/>
      <c r="U1004" s="8"/>
      <c r="V1004" s="8"/>
      <c r="W1004" s="8"/>
    </row>
  </sheetData>
  <mergeCells count="1">
    <mergeCell ref="A2:F2"/>
  </mergeCells>
  <hyperlinks>
    <hyperlink r:id="rId1" ref="O6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49"/>
      <c r="B1" s="38"/>
      <c r="C1" s="38"/>
      <c r="D1" s="38"/>
      <c r="E1" s="38"/>
      <c r="F1" s="38"/>
      <c r="G1" s="39"/>
      <c r="H1" s="39"/>
      <c r="I1" s="39"/>
      <c r="J1" s="39"/>
      <c r="K1" s="39"/>
      <c r="L1" s="39"/>
      <c r="M1" s="40"/>
      <c r="N1" s="40"/>
      <c r="O1" s="40"/>
      <c r="P1" s="40"/>
      <c r="Q1" s="7"/>
      <c r="R1" s="7"/>
      <c r="S1" s="39"/>
      <c r="T1" s="39"/>
      <c r="U1" s="8"/>
      <c r="V1" s="8"/>
      <c r="W1" s="8"/>
    </row>
    <row r="2" ht="39.75" customHeight="1">
      <c r="A2" s="38" t="s">
        <v>392</v>
      </c>
      <c r="G2" s="39"/>
      <c r="H2" s="39"/>
      <c r="I2" s="39"/>
      <c r="J2" s="39"/>
      <c r="K2" s="39"/>
      <c r="L2" s="39"/>
      <c r="M2" s="40"/>
      <c r="N2" s="40"/>
      <c r="O2" s="40"/>
      <c r="P2" s="40"/>
      <c r="Q2" s="7"/>
      <c r="R2" s="7"/>
      <c r="S2" s="39"/>
      <c r="T2" s="39"/>
      <c r="U2" s="8"/>
      <c r="V2" s="8"/>
      <c r="W2" s="8"/>
    </row>
    <row r="3">
      <c r="A3" s="2" t="s">
        <v>231</v>
      </c>
      <c r="B3" s="2" t="s">
        <v>3</v>
      </c>
      <c r="C3" s="4" t="s">
        <v>232</v>
      </c>
      <c r="D3" s="4" t="s">
        <v>233</v>
      </c>
      <c r="E3" s="2" t="s">
        <v>234</v>
      </c>
      <c r="F3" s="2" t="s">
        <v>235</v>
      </c>
      <c r="G3" s="4" t="s">
        <v>16</v>
      </c>
      <c r="H3" s="4" t="s">
        <v>17</v>
      </c>
      <c r="I3" s="4" t="s">
        <v>18</v>
      </c>
      <c r="J3" s="4" t="s">
        <v>19</v>
      </c>
      <c r="K3" s="4" t="s">
        <v>20</v>
      </c>
      <c r="L3" s="4" t="s">
        <v>21</v>
      </c>
      <c r="M3" s="2" t="s">
        <v>22</v>
      </c>
      <c r="N3" s="2" t="s">
        <v>23</v>
      </c>
      <c r="O3" s="2" t="s">
        <v>236</v>
      </c>
      <c r="P3" s="2" t="s">
        <v>237</v>
      </c>
      <c r="Q3" s="3" t="s">
        <v>238</v>
      </c>
      <c r="R3" s="3" t="s">
        <v>239</v>
      </c>
      <c r="S3" s="4" t="s">
        <v>240</v>
      </c>
      <c r="T3" s="41" t="s">
        <v>241</v>
      </c>
      <c r="U3" s="5"/>
      <c r="V3" s="5"/>
      <c r="W3" s="5"/>
      <c r="X3" s="42"/>
      <c r="Y3" s="42"/>
      <c r="Z3" s="42"/>
      <c r="AA3" s="42"/>
    </row>
    <row r="4">
      <c r="A4" s="11">
        <v>1.0</v>
      </c>
      <c r="B4" s="11" t="s">
        <v>393</v>
      </c>
      <c r="C4" s="11">
        <f>D4+E4</f>
        <v>7</v>
      </c>
      <c r="D4" s="11">
        <f>sum(G4:N4)</f>
        <v>6</v>
      </c>
      <c r="E4" s="11">
        <v>1.0</v>
      </c>
      <c r="F4" s="11" t="s">
        <v>394</v>
      </c>
      <c r="G4" s="11">
        <v>3.0</v>
      </c>
      <c r="H4" s="11">
        <v>1.0</v>
      </c>
      <c r="I4" s="13"/>
      <c r="J4" s="13"/>
      <c r="K4" s="13"/>
      <c r="L4" s="11">
        <v>0.5</v>
      </c>
      <c r="M4" s="11">
        <v>1.0</v>
      </c>
      <c r="N4" s="11">
        <v>0.5</v>
      </c>
      <c r="O4" s="11" t="s">
        <v>395</v>
      </c>
      <c r="P4" s="11" t="s">
        <v>396</v>
      </c>
      <c r="Q4" s="11" t="s">
        <v>397</v>
      </c>
      <c r="R4" s="11" t="s">
        <v>398</v>
      </c>
      <c r="S4" s="11" t="s">
        <v>399</v>
      </c>
      <c r="T4" s="11">
        <v>6.0</v>
      </c>
      <c r="U4" s="8"/>
      <c r="V4" s="8"/>
      <c r="W4" s="13"/>
      <c r="X4" s="50"/>
      <c r="Y4" s="50"/>
      <c r="Z4" s="50"/>
      <c r="AA4" s="50"/>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49" t="s">
        <v>400</v>
      </c>
      <c r="B1" s="38"/>
      <c r="C1" s="38"/>
      <c r="D1" s="38"/>
      <c r="E1" s="38"/>
      <c r="F1" s="38"/>
      <c r="G1" s="39"/>
      <c r="H1" s="39"/>
      <c r="I1" s="39"/>
      <c r="J1" s="39"/>
      <c r="K1" s="39"/>
      <c r="L1" s="39"/>
      <c r="M1" s="40"/>
      <c r="N1" s="40"/>
      <c r="O1" s="40"/>
      <c r="P1" s="40"/>
      <c r="Q1" s="7"/>
      <c r="R1" s="7"/>
      <c r="S1" s="39"/>
      <c r="T1" s="39"/>
      <c r="U1" s="8"/>
      <c r="V1" s="8"/>
      <c r="W1" s="8"/>
    </row>
    <row r="2" ht="39.75" customHeight="1">
      <c r="A2" s="38" t="s">
        <v>401</v>
      </c>
      <c r="G2" s="39"/>
      <c r="H2" s="39"/>
      <c r="I2" s="39"/>
      <c r="J2" s="39"/>
      <c r="K2" s="39"/>
      <c r="L2" s="39"/>
      <c r="M2" s="40"/>
      <c r="N2" s="40"/>
      <c r="O2" s="40"/>
      <c r="P2" s="40"/>
      <c r="Q2" s="7"/>
      <c r="R2" s="7"/>
      <c r="S2" s="39"/>
      <c r="T2" s="39"/>
      <c r="U2" s="8"/>
      <c r="V2" s="8"/>
      <c r="W2" s="8"/>
    </row>
    <row r="3">
      <c r="A3" s="2" t="s">
        <v>231</v>
      </c>
      <c r="B3" s="2" t="s">
        <v>3</v>
      </c>
      <c r="C3" s="4" t="s">
        <v>232</v>
      </c>
      <c r="D3" s="4" t="s">
        <v>233</v>
      </c>
      <c r="E3" s="2" t="s">
        <v>234</v>
      </c>
      <c r="F3" s="2" t="s">
        <v>235</v>
      </c>
      <c r="G3" s="4" t="s">
        <v>16</v>
      </c>
      <c r="H3" s="4" t="s">
        <v>17</v>
      </c>
      <c r="I3" s="4" t="s">
        <v>18</v>
      </c>
      <c r="J3" s="4" t="s">
        <v>19</v>
      </c>
      <c r="K3" s="4" t="s">
        <v>20</v>
      </c>
      <c r="L3" s="4" t="s">
        <v>21</v>
      </c>
      <c r="M3" s="2" t="s">
        <v>22</v>
      </c>
      <c r="N3" s="2" t="s">
        <v>23</v>
      </c>
      <c r="O3" s="2" t="s">
        <v>236</v>
      </c>
      <c r="P3" s="2" t="s">
        <v>237</v>
      </c>
      <c r="Q3" s="3" t="s">
        <v>238</v>
      </c>
      <c r="R3" s="3" t="s">
        <v>239</v>
      </c>
      <c r="S3" s="4" t="s">
        <v>240</v>
      </c>
      <c r="T3" s="41" t="s">
        <v>241</v>
      </c>
      <c r="U3" s="5"/>
      <c r="V3" s="5"/>
      <c r="W3" s="5"/>
      <c r="X3" s="42"/>
      <c r="Y3" s="42"/>
      <c r="Z3" s="42"/>
      <c r="AA3" s="42"/>
    </row>
    <row r="4">
      <c r="A4" s="11">
        <v>1.0</v>
      </c>
      <c r="B4" s="11" t="s">
        <v>402</v>
      </c>
      <c r="C4" s="11">
        <f>D4+E4</f>
        <v>37.5</v>
      </c>
      <c r="D4" s="11">
        <f>sum(G4:N4)</f>
        <v>35</v>
      </c>
      <c r="E4" s="11">
        <v>2.5</v>
      </c>
      <c r="F4" s="11" t="s">
        <v>403</v>
      </c>
      <c r="G4" s="11">
        <v>0.0</v>
      </c>
      <c r="H4" s="11">
        <v>20.0</v>
      </c>
      <c r="I4" s="11">
        <v>10.0</v>
      </c>
      <c r="J4" s="11">
        <v>0.0</v>
      </c>
      <c r="K4" s="11">
        <v>0.0</v>
      </c>
      <c r="L4" s="11">
        <v>5.0</v>
      </c>
      <c r="M4" s="11">
        <v>0.0</v>
      </c>
      <c r="N4" s="11">
        <v>0.0</v>
      </c>
      <c r="O4" s="11" t="s">
        <v>404</v>
      </c>
      <c r="P4" s="11" t="s">
        <v>405</v>
      </c>
      <c r="Q4" s="11" t="s">
        <v>406</v>
      </c>
      <c r="R4" s="11" t="s">
        <v>407</v>
      </c>
      <c r="S4" s="11" t="s">
        <v>408</v>
      </c>
      <c r="T4" s="11">
        <v>25.0</v>
      </c>
      <c r="U4" s="8"/>
      <c r="V4" s="8"/>
      <c r="W4" s="13"/>
      <c r="X4" s="50"/>
      <c r="Y4" s="50"/>
      <c r="Z4" s="50"/>
      <c r="AA4" s="50"/>
    </row>
    <row r="5">
      <c r="A5" s="51">
        <v>46056.0</v>
      </c>
      <c r="B5" s="20" t="s">
        <v>409</v>
      </c>
      <c r="C5" s="20">
        <v>50.0</v>
      </c>
      <c r="D5" s="20">
        <v>49.0</v>
      </c>
      <c r="E5" s="20">
        <v>3.0</v>
      </c>
      <c r="F5" s="7" t="s">
        <v>410</v>
      </c>
      <c r="G5" s="7"/>
      <c r="H5" s="8"/>
      <c r="I5" s="7">
        <v>10.0</v>
      </c>
      <c r="J5" s="7" t="s">
        <v>411</v>
      </c>
      <c r="K5" s="8"/>
      <c r="L5" s="7" t="s">
        <v>412</v>
      </c>
      <c r="M5" s="7" t="s">
        <v>413</v>
      </c>
      <c r="N5" s="8"/>
      <c r="O5" s="8"/>
      <c r="P5" s="7" t="s">
        <v>414</v>
      </c>
      <c r="Q5" s="7"/>
      <c r="R5" s="7" t="s">
        <v>415</v>
      </c>
      <c r="S5" s="8"/>
      <c r="T5" s="8"/>
      <c r="U5" s="8"/>
      <c r="V5" s="8"/>
      <c r="W5" s="8"/>
    </row>
    <row r="6">
      <c r="A6" s="20">
        <v>4.0</v>
      </c>
      <c r="B6" s="20" t="s">
        <v>128</v>
      </c>
      <c r="C6" s="20">
        <v>25.0</v>
      </c>
      <c r="D6" s="20">
        <v>23.0</v>
      </c>
      <c r="E6" s="20">
        <v>2.0</v>
      </c>
      <c r="F6" s="20" t="s">
        <v>416</v>
      </c>
      <c r="G6" s="7">
        <v>0.0</v>
      </c>
      <c r="H6" s="7">
        <v>0.0</v>
      </c>
      <c r="I6" s="7" t="s">
        <v>417</v>
      </c>
      <c r="J6" s="7" t="s">
        <v>418</v>
      </c>
      <c r="K6" s="7" t="s">
        <v>419</v>
      </c>
      <c r="L6" s="7" t="s">
        <v>420</v>
      </c>
      <c r="M6" s="7">
        <v>0.0</v>
      </c>
      <c r="N6" s="7">
        <v>0.0</v>
      </c>
      <c r="O6" s="7" t="s">
        <v>421</v>
      </c>
      <c r="P6" s="7" t="s">
        <v>422</v>
      </c>
      <c r="Q6" s="8"/>
      <c r="R6" s="8"/>
      <c r="S6" s="7" t="s">
        <v>423</v>
      </c>
      <c r="T6" s="7" t="s">
        <v>424</v>
      </c>
      <c r="U6" s="8"/>
      <c r="V6" s="8"/>
      <c r="W6" s="8"/>
    </row>
    <row r="7">
      <c r="A7" s="20">
        <v>5.0</v>
      </c>
      <c r="B7" s="20" t="s">
        <v>371</v>
      </c>
      <c r="C7" s="20" t="s">
        <v>425</v>
      </c>
      <c r="D7" s="20" t="s">
        <v>426</v>
      </c>
      <c r="E7" s="20" t="s">
        <v>419</v>
      </c>
      <c r="F7" s="20" t="s">
        <v>427</v>
      </c>
      <c r="G7" s="8"/>
      <c r="H7" s="8"/>
      <c r="I7" s="8"/>
      <c r="J7" s="7" t="s">
        <v>428</v>
      </c>
      <c r="K7" s="7" t="s">
        <v>424</v>
      </c>
      <c r="L7" s="7" t="s">
        <v>429</v>
      </c>
      <c r="M7" s="7" t="s">
        <v>430</v>
      </c>
      <c r="N7" s="7"/>
      <c r="O7" s="7" t="s">
        <v>431</v>
      </c>
      <c r="P7" s="17" t="s">
        <v>432</v>
      </c>
      <c r="Q7" s="8"/>
      <c r="R7" s="8"/>
      <c r="S7" s="7" t="s">
        <v>433</v>
      </c>
      <c r="T7" s="8"/>
      <c r="U7" s="8"/>
      <c r="V7" s="8"/>
      <c r="W7" s="8"/>
    </row>
    <row r="8">
      <c r="A8" s="7">
        <v>6.0</v>
      </c>
      <c r="B8" s="7" t="s">
        <v>170</v>
      </c>
      <c r="C8" s="20">
        <v>35.0</v>
      </c>
      <c r="D8" s="20">
        <v>31.0</v>
      </c>
      <c r="E8" s="20">
        <v>4.0</v>
      </c>
      <c r="F8" s="20" t="s">
        <v>434</v>
      </c>
      <c r="G8" s="7" t="s">
        <v>419</v>
      </c>
      <c r="H8" s="7" t="s">
        <v>435</v>
      </c>
      <c r="I8" s="7" t="s">
        <v>436</v>
      </c>
      <c r="J8" s="7" t="s">
        <v>437</v>
      </c>
      <c r="K8" s="7" t="s">
        <v>435</v>
      </c>
      <c r="L8" s="7" t="s">
        <v>428</v>
      </c>
      <c r="M8" s="7" t="s">
        <v>413</v>
      </c>
      <c r="N8" s="8"/>
      <c r="O8" s="17" t="s">
        <v>438</v>
      </c>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hyperlinks>
    <hyperlink r:id="rId4" ref="P7"/>
    <hyperlink r:id="rId5" ref="O8"/>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0.13"/>
    <col customWidth="1" min="3" max="3" width="7.25"/>
    <col customWidth="1" min="4" max="4" width="8.38"/>
    <col customWidth="1" min="5" max="5" width="7.13"/>
    <col customWidth="1" min="6" max="6" width="68.0"/>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4.88"/>
    <col customWidth="1" min="16" max="16" width="114.0"/>
    <col customWidth="1" min="17" max="17" width="19.63"/>
    <col customWidth="1" min="18" max="18" width="22.88"/>
    <col customWidth="1" min="19" max="19" width="17.63"/>
    <col customWidth="1" min="20" max="20" width="21.5"/>
    <col customWidth="1" min="21" max="23" width="10.75"/>
  </cols>
  <sheetData>
    <row r="1">
      <c r="A1" s="52" t="s">
        <v>400</v>
      </c>
      <c r="G1" s="53"/>
      <c r="H1" s="53"/>
      <c r="I1" s="53"/>
      <c r="J1" s="53"/>
      <c r="K1" s="53"/>
      <c r="L1" s="53"/>
      <c r="M1" s="54"/>
      <c r="N1" s="54"/>
      <c r="O1" s="54"/>
      <c r="P1" s="54"/>
      <c r="Q1" s="15"/>
      <c r="R1" s="15"/>
      <c r="S1" s="53"/>
      <c r="T1" s="53"/>
      <c r="U1" s="30"/>
      <c r="V1" s="30"/>
      <c r="W1" s="30"/>
      <c r="X1" s="30"/>
      <c r="Y1" s="30"/>
      <c r="Z1" s="30"/>
      <c r="AA1" s="30"/>
    </row>
    <row r="2" ht="25.5" customHeight="1">
      <c r="A2" s="55" t="s">
        <v>439</v>
      </c>
      <c r="G2" s="53"/>
      <c r="H2" s="53"/>
      <c r="I2" s="53"/>
      <c r="J2" s="53"/>
      <c r="K2" s="53"/>
      <c r="L2" s="53"/>
      <c r="M2" s="54"/>
      <c r="N2" s="54"/>
      <c r="O2" s="54"/>
      <c r="P2" s="54"/>
      <c r="Q2" s="15"/>
      <c r="R2" s="15"/>
      <c r="S2" s="53"/>
      <c r="T2" s="53"/>
      <c r="U2" s="30"/>
      <c r="V2" s="30"/>
      <c r="W2" s="30"/>
      <c r="X2" s="30"/>
      <c r="Y2" s="30"/>
      <c r="Z2" s="30"/>
      <c r="AA2" s="30"/>
    </row>
    <row r="3">
      <c r="A3" s="56" t="s">
        <v>231</v>
      </c>
      <c r="B3" s="56" t="s">
        <v>3</v>
      </c>
      <c r="C3" s="25" t="s">
        <v>232</v>
      </c>
      <c r="D3" s="25" t="s">
        <v>233</v>
      </c>
      <c r="E3" s="56" t="s">
        <v>234</v>
      </c>
      <c r="F3" s="56" t="s">
        <v>235</v>
      </c>
      <c r="G3" s="25" t="s">
        <v>16</v>
      </c>
      <c r="H3" s="25" t="s">
        <v>17</v>
      </c>
      <c r="I3" s="25" t="s">
        <v>18</v>
      </c>
      <c r="J3" s="25" t="s">
        <v>19</v>
      </c>
      <c r="K3" s="25" t="s">
        <v>20</v>
      </c>
      <c r="L3" s="25" t="s">
        <v>21</v>
      </c>
      <c r="M3" s="56" t="s">
        <v>22</v>
      </c>
      <c r="N3" s="56" t="s">
        <v>23</v>
      </c>
      <c r="O3" s="56" t="s">
        <v>236</v>
      </c>
      <c r="P3" s="56" t="s">
        <v>237</v>
      </c>
      <c r="Q3" s="57" t="s">
        <v>238</v>
      </c>
      <c r="R3" s="57" t="s">
        <v>239</v>
      </c>
      <c r="S3" s="25" t="s">
        <v>240</v>
      </c>
      <c r="T3" s="58" t="s">
        <v>241</v>
      </c>
      <c r="U3" s="59"/>
      <c r="V3" s="59"/>
      <c r="W3" s="59"/>
      <c r="X3" s="59"/>
      <c r="Y3" s="59"/>
      <c r="Z3" s="59"/>
      <c r="AA3" s="59"/>
    </row>
    <row r="4">
      <c r="A4" s="60"/>
      <c r="B4" s="60"/>
      <c r="C4" s="60"/>
      <c r="D4" s="60"/>
      <c r="E4" s="60"/>
      <c r="F4" s="60"/>
      <c r="G4" s="60"/>
      <c r="H4" s="60"/>
      <c r="I4" s="60"/>
      <c r="J4" s="60"/>
      <c r="K4" s="60"/>
      <c r="L4" s="60"/>
      <c r="M4" s="60"/>
      <c r="N4" s="60"/>
      <c r="O4" s="60"/>
      <c r="P4" s="60"/>
      <c r="Q4" s="60"/>
      <c r="R4" s="60"/>
      <c r="S4" s="60"/>
      <c r="T4" s="60"/>
      <c r="U4" s="30"/>
      <c r="V4" s="30"/>
      <c r="W4" s="61"/>
      <c r="X4" s="61"/>
      <c r="Y4" s="61"/>
      <c r="Z4" s="61"/>
      <c r="AA4" s="61"/>
    </row>
    <row r="5">
      <c r="A5" s="62" t="s">
        <v>440</v>
      </c>
      <c r="B5" s="15" t="s">
        <v>441</v>
      </c>
      <c r="C5" s="15" t="s">
        <v>442</v>
      </c>
      <c r="D5" s="15" t="s">
        <v>443</v>
      </c>
      <c r="E5" s="15" t="s">
        <v>444</v>
      </c>
      <c r="F5" s="15" t="s">
        <v>445</v>
      </c>
      <c r="G5" s="15">
        <v>10.0</v>
      </c>
      <c r="H5" s="15">
        <v>1.0</v>
      </c>
      <c r="I5" s="15">
        <v>1.0</v>
      </c>
      <c r="J5" s="15">
        <v>14.0</v>
      </c>
      <c r="L5" s="15">
        <v>1.0</v>
      </c>
      <c r="M5" s="15">
        <v>8.0</v>
      </c>
      <c r="N5" s="15">
        <v>0.0</v>
      </c>
      <c r="O5" s="15" t="s">
        <v>446</v>
      </c>
      <c r="P5" s="15" t="s">
        <v>447</v>
      </c>
      <c r="Q5" s="15" t="s">
        <v>448</v>
      </c>
      <c r="R5" s="15" t="s">
        <v>448</v>
      </c>
      <c r="S5" s="15" t="s">
        <v>449</v>
      </c>
      <c r="T5" s="15">
        <v>15.0</v>
      </c>
      <c r="U5" s="30"/>
      <c r="V5" s="30"/>
      <c r="W5" s="30"/>
      <c r="X5" s="30"/>
      <c r="Y5" s="30"/>
      <c r="Z5" s="30"/>
      <c r="AA5" s="30"/>
    </row>
    <row r="6">
      <c r="A6" s="63"/>
    </row>
    <row r="7">
      <c r="A7" s="15">
        <v>4.0</v>
      </c>
      <c r="B7" s="15" t="s">
        <v>128</v>
      </c>
      <c r="C7" s="15" t="s">
        <v>450</v>
      </c>
      <c r="D7" s="15" t="s">
        <v>451</v>
      </c>
      <c r="E7" s="15" t="s">
        <v>452</v>
      </c>
      <c r="F7" s="15" t="s">
        <v>453</v>
      </c>
      <c r="G7" s="15">
        <v>6.0</v>
      </c>
      <c r="H7" s="15">
        <v>0.0</v>
      </c>
      <c r="I7" s="15">
        <v>1.0</v>
      </c>
      <c r="J7" s="15">
        <v>3.0</v>
      </c>
      <c r="L7" s="15">
        <v>0.0</v>
      </c>
      <c r="M7" s="15">
        <v>0.0</v>
      </c>
      <c r="N7" s="15">
        <v>2.0</v>
      </c>
      <c r="O7" s="15" t="s">
        <v>454</v>
      </c>
      <c r="P7" s="15" t="s">
        <v>455</v>
      </c>
      <c r="Q7" s="15" t="s">
        <v>448</v>
      </c>
      <c r="R7" s="15" t="s">
        <v>448</v>
      </c>
      <c r="S7" s="15" t="s">
        <v>456</v>
      </c>
      <c r="T7" s="15">
        <v>30.0</v>
      </c>
      <c r="U7" s="30"/>
      <c r="V7" s="30"/>
      <c r="W7" s="30"/>
      <c r="X7" s="30"/>
      <c r="Y7" s="30"/>
      <c r="Z7" s="30"/>
      <c r="AA7" s="30"/>
    </row>
    <row r="8">
      <c r="A8" s="60"/>
    </row>
    <row r="9" ht="429.75" customHeight="1">
      <c r="A9" s="15">
        <v>5.0</v>
      </c>
      <c r="B9" s="15" t="s">
        <v>139</v>
      </c>
      <c r="C9" s="15" t="s">
        <v>457</v>
      </c>
      <c r="D9" s="15" t="s">
        <v>458</v>
      </c>
      <c r="E9" s="15" t="s">
        <v>459</v>
      </c>
      <c r="F9" s="15" t="s">
        <v>460</v>
      </c>
      <c r="G9" s="15">
        <v>10.0</v>
      </c>
      <c r="H9" s="15">
        <v>0.0</v>
      </c>
      <c r="I9" s="15">
        <v>1.0</v>
      </c>
      <c r="J9" s="15">
        <v>20.0</v>
      </c>
      <c r="L9" s="15">
        <v>0.0</v>
      </c>
      <c r="M9" s="15">
        <v>0.0</v>
      </c>
      <c r="N9" s="15">
        <v>4.0</v>
      </c>
      <c r="O9" s="15" t="s">
        <v>461</v>
      </c>
      <c r="P9" s="15" t="s">
        <v>462</v>
      </c>
      <c r="Q9" s="15" t="s">
        <v>448</v>
      </c>
      <c r="R9" s="15" t="s">
        <v>448</v>
      </c>
      <c r="S9" s="15" t="s">
        <v>463</v>
      </c>
      <c r="T9" s="15">
        <v>30.0</v>
      </c>
      <c r="U9" s="30"/>
      <c r="V9" s="30"/>
      <c r="W9" s="30"/>
      <c r="X9" s="30"/>
      <c r="Y9" s="30"/>
      <c r="Z9" s="30"/>
      <c r="AA9" s="30"/>
    </row>
    <row r="10" ht="18.75" customHeight="1">
      <c r="A10" s="60"/>
    </row>
    <row r="11" ht="447.0" customHeight="1">
      <c r="A11" s="15">
        <v>6.0</v>
      </c>
      <c r="B11" s="15" t="s">
        <v>170</v>
      </c>
      <c r="C11" s="15" t="s">
        <v>464</v>
      </c>
      <c r="D11" s="15" t="s">
        <v>465</v>
      </c>
      <c r="E11" s="15" t="s">
        <v>466</v>
      </c>
      <c r="F11" s="15" t="s">
        <v>467</v>
      </c>
      <c r="G11" s="15">
        <v>8.0</v>
      </c>
      <c r="H11" s="30"/>
      <c r="I11" s="15">
        <v>1.0</v>
      </c>
      <c r="J11" s="15">
        <v>15.0</v>
      </c>
      <c r="L11" s="15">
        <v>0.0</v>
      </c>
      <c r="M11" s="15">
        <v>0.0</v>
      </c>
      <c r="N11" s="15">
        <v>4.0</v>
      </c>
      <c r="O11" s="15" t="s">
        <v>468</v>
      </c>
      <c r="P11" s="15" t="s">
        <v>469</v>
      </c>
      <c r="Q11" s="15" t="s">
        <v>448</v>
      </c>
      <c r="R11" s="15" t="s">
        <v>448</v>
      </c>
      <c r="S11" s="15" t="s">
        <v>470</v>
      </c>
      <c r="T11" s="15">
        <v>30.0</v>
      </c>
      <c r="U11" s="30"/>
      <c r="V11" s="30"/>
      <c r="W11" s="30"/>
      <c r="X11" s="30"/>
      <c r="Y11" s="30"/>
      <c r="Z11" s="30"/>
      <c r="AA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row>
    <row r="15">
      <c r="A15" s="7"/>
      <c r="B15" s="7"/>
      <c r="C15" s="30"/>
      <c r="D15" s="30"/>
      <c r="E15" s="30"/>
      <c r="F15" s="30"/>
      <c r="G15" s="30"/>
      <c r="H15" s="30"/>
      <c r="I15" s="30"/>
      <c r="J15" s="30"/>
      <c r="K15" s="30"/>
      <c r="L15" s="30"/>
      <c r="M15" s="30"/>
      <c r="N15" s="30"/>
      <c r="O15" s="30"/>
      <c r="P15" s="30"/>
      <c r="Q15" s="30"/>
      <c r="R15" s="30"/>
      <c r="S15" s="30"/>
      <c r="T15" s="30"/>
      <c r="U15" s="30"/>
      <c r="V15" s="30"/>
      <c r="W15" s="30"/>
      <c r="X15" s="30"/>
      <c r="Y15" s="30"/>
      <c r="Z15" s="30"/>
      <c r="AA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row>
  </sheetData>
  <mergeCells count="9">
    <mergeCell ref="J9:K9"/>
    <mergeCell ref="J11:K11"/>
    <mergeCell ref="A1:F1"/>
    <mergeCell ref="A2:F2"/>
    <mergeCell ref="J5:K5"/>
    <mergeCell ref="A6:AA6"/>
    <mergeCell ref="J7:K7"/>
    <mergeCell ref="A8:AA8"/>
    <mergeCell ref="A10:AA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idden="1">
      <c r="A1" s="64" t="s">
        <v>400</v>
      </c>
      <c r="B1" s="38"/>
      <c r="C1" s="38"/>
      <c r="D1" s="38"/>
      <c r="E1" s="38"/>
      <c r="F1" s="38"/>
      <c r="G1" s="39"/>
      <c r="H1" s="39"/>
      <c r="I1" s="39"/>
      <c r="J1" s="39"/>
      <c r="K1" s="39"/>
      <c r="L1" s="39"/>
      <c r="M1" s="40"/>
      <c r="N1" s="40"/>
      <c r="O1" s="40"/>
      <c r="P1" s="40"/>
      <c r="Q1" s="7"/>
      <c r="R1" s="7"/>
      <c r="S1" s="39"/>
      <c r="T1" s="39"/>
      <c r="U1" s="8"/>
      <c r="V1" s="8"/>
      <c r="W1" s="8"/>
      <c r="X1" s="8"/>
      <c r="Y1" s="8"/>
      <c r="Z1" s="8"/>
      <c r="AA1" s="8"/>
    </row>
    <row r="2" ht="39.75" hidden="1" customHeight="1">
      <c r="A2" s="38" t="s">
        <v>471</v>
      </c>
      <c r="G2" s="39"/>
      <c r="H2" s="39"/>
      <c r="I2" s="39"/>
      <c r="J2" s="39"/>
      <c r="K2" s="39"/>
      <c r="L2" s="39"/>
      <c r="M2" s="40"/>
      <c r="N2" s="40"/>
      <c r="O2" s="40"/>
      <c r="P2" s="40"/>
      <c r="Q2" s="7"/>
      <c r="R2" s="7"/>
      <c r="S2" s="39"/>
      <c r="T2" s="39"/>
      <c r="U2" s="8"/>
      <c r="V2" s="8"/>
      <c r="W2" s="8"/>
      <c r="X2" s="8"/>
      <c r="Y2" s="8"/>
      <c r="Z2" s="8"/>
      <c r="AA2" s="8"/>
    </row>
    <row r="3">
      <c r="A3" s="2" t="s">
        <v>231</v>
      </c>
      <c r="B3" s="2" t="s">
        <v>3</v>
      </c>
      <c r="C3" s="4" t="s">
        <v>232</v>
      </c>
      <c r="D3" s="4" t="s">
        <v>233</v>
      </c>
      <c r="E3" s="2" t="s">
        <v>234</v>
      </c>
      <c r="F3" s="2" t="s">
        <v>235</v>
      </c>
      <c r="G3" s="4" t="s">
        <v>16</v>
      </c>
      <c r="H3" s="4" t="s">
        <v>17</v>
      </c>
      <c r="I3" s="4" t="s">
        <v>18</v>
      </c>
      <c r="J3" s="4" t="s">
        <v>19</v>
      </c>
      <c r="K3" s="4" t="s">
        <v>20</v>
      </c>
      <c r="L3" s="4" t="s">
        <v>21</v>
      </c>
      <c r="M3" s="2" t="s">
        <v>22</v>
      </c>
      <c r="N3" s="2" t="s">
        <v>23</v>
      </c>
      <c r="O3" s="2" t="s">
        <v>236</v>
      </c>
      <c r="P3" s="2" t="s">
        <v>237</v>
      </c>
      <c r="Q3" s="3" t="s">
        <v>238</v>
      </c>
      <c r="R3" s="3" t="s">
        <v>239</v>
      </c>
      <c r="S3" s="4" t="s">
        <v>240</v>
      </c>
      <c r="T3" s="41" t="s">
        <v>241</v>
      </c>
      <c r="U3" s="5"/>
      <c r="V3" s="5"/>
      <c r="W3" s="5"/>
      <c r="X3" s="5"/>
      <c r="Y3" s="5"/>
      <c r="Z3" s="5"/>
      <c r="AA3" s="5"/>
    </row>
    <row r="4">
      <c r="A4" s="7">
        <v>1.0</v>
      </c>
      <c r="B4" s="7" t="s">
        <v>472</v>
      </c>
      <c r="C4" s="7">
        <v>4.5</v>
      </c>
      <c r="D4" s="7">
        <v>2.0</v>
      </c>
      <c r="E4" s="7">
        <v>2.5</v>
      </c>
      <c r="F4" s="7" t="s">
        <v>473</v>
      </c>
      <c r="G4" s="7">
        <v>2.0</v>
      </c>
      <c r="H4" s="7">
        <v>1.0</v>
      </c>
      <c r="I4" s="7">
        <v>1.0</v>
      </c>
      <c r="J4" s="8"/>
      <c r="K4" s="8"/>
      <c r="L4" s="7"/>
      <c r="M4" s="8"/>
      <c r="N4" s="7">
        <v>1.0</v>
      </c>
      <c r="O4" s="7" t="s">
        <v>474</v>
      </c>
      <c r="P4" s="7"/>
      <c r="Q4" s="7" t="s">
        <v>475</v>
      </c>
      <c r="R4" s="7" t="s">
        <v>476</v>
      </c>
      <c r="S4" s="7" t="s">
        <v>477</v>
      </c>
      <c r="T4" s="8"/>
      <c r="U4" s="8"/>
      <c r="V4" s="8"/>
      <c r="W4" s="8"/>
      <c r="X4" s="8"/>
      <c r="Y4" s="8"/>
      <c r="Z4" s="8"/>
      <c r="AA4" s="8"/>
    </row>
    <row r="5">
      <c r="A5" s="7">
        <v>2.0</v>
      </c>
      <c r="B5" s="7" t="s">
        <v>115</v>
      </c>
      <c r="C5" s="7">
        <v>26.0</v>
      </c>
      <c r="D5" s="7">
        <v>23.0</v>
      </c>
      <c r="E5" s="7">
        <v>3.0</v>
      </c>
      <c r="F5" s="7" t="s">
        <v>478</v>
      </c>
      <c r="G5" s="7">
        <v>2.0</v>
      </c>
      <c r="H5" s="7">
        <v>2.0</v>
      </c>
      <c r="I5" s="7">
        <v>2.0</v>
      </c>
      <c r="J5" s="7">
        <v>6.0</v>
      </c>
      <c r="K5" s="7">
        <v>2.0</v>
      </c>
      <c r="L5" s="7">
        <v>3.0</v>
      </c>
      <c r="M5" s="7">
        <v>4.0</v>
      </c>
      <c r="N5" s="7">
        <v>3.0</v>
      </c>
      <c r="O5" s="7" t="s">
        <v>479</v>
      </c>
      <c r="P5" s="7" t="s">
        <v>480</v>
      </c>
      <c r="Q5" s="7" t="s">
        <v>481</v>
      </c>
      <c r="R5" s="7" t="s">
        <v>482</v>
      </c>
      <c r="S5" s="7" t="s">
        <v>483</v>
      </c>
      <c r="T5" s="7" t="s">
        <v>484</v>
      </c>
      <c r="U5" s="8"/>
      <c r="V5" s="8"/>
      <c r="W5" s="8"/>
      <c r="X5" s="8"/>
      <c r="Y5" s="8"/>
      <c r="Z5" s="8"/>
      <c r="AA5" s="8"/>
    </row>
    <row r="6">
      <c r="A6" s="8"/>
      <c r="B6" s="8"/>
      <c r="C6" s="8"/>
      <c r="D6" s="8"/>
      <c r="E6" s="8"/>
      <c r="F6" s="8"/>
      <c r="G6" s="8"/>
      <c r="H6" s="8"/>
      <c r="I6" s="8"/>
      <c r="J6" s="8"/>
      <c r="K6" s="8"/>
      <c r="L6" s="8"/>
      <c r="M6" s="8"/>
      <c r="N6" s="8"/>
      <c r="O6" s="8"/>
      <c r="P6" s="8"/>
      <c r="Q6" s="8"/>
      <c r="R6" s="8"/>
      <c r="S6" s="8"/>
      <c r="T6" s="8"/>
      <c r="U6" s="8"/>
      <c r="V6" s="8"/>
      <c r="W6" s="8"/>
      <c r="X6" s="8"/>
      <c r="Y6" s="8"/>
      <c r="Z6" s="8"/>
      <c r="AA6" s="8"/>
    </row>
    <row r="7">
      <c r="A7" s="7">
        <v>4.0</v>
      </c>
      <c r="B7" s="7" t="s">
        <v>128</v>
      </c>
      <c r="C7" s="7">
        <v>13.0</v>
      </c>
      <c r="D7" s="7">
        <v>11.0</v>
      </c>
      <c r="E7" s="7">
        <v>2.0</v>
      </c>
      <c r="F7" s="7" t="s">
        <v>485</v>
      </c>
      <c r="G7" s="7">
        <v>2.0</v>
      </c>
      <c r="H7" s="7">
        <v>1.0</v>
      </c>
      <c r="I7" s="8"/>
      <c r="J7" s="7">
        <v>5.0</v>
      </c>
      <c r="K7" s="8"/>
      <c r="L7" s="7">
        <v>1.5</v>
      </c>
      <c r="M7" s="8"/>
      <c r="N7" s="7">
        <v>3.0</v>
      </c>
      <c r="O7" s="7" t="s">
        <v>129</v>
      </c>
      <c r="P7" s="7" t="s">
        <v>486</v>
      </c>
      <c r="Q7" s="7" t="s">
        <v>487</v>
      </c>
      <c r="R7" s="7" t="s">
        <v>488</v>
      </c>
      <c r="S7" s="7" t="s">
        <v>489</v>
      </c>
      <c r="T7" s="7" t="s">
        <v>490</v>
      </c>
      <c r="U7" s="8"/>
      <c r="V7" s="8"/>
      <c r="W7" s="8"/>
      <c r="X7" s="8"/>
      <c r="Y7" s="8"/>
      <c r="Z7" s="8"/>
      <c r="AA7" s="8"/>
    </row>
    <row r="8">
      <c r="A8" s="7">
        <v>5.0</v>
      </c>
      <c r="B8" s="7" t="s">
        <v>371</v>
      </c>
      <c r="C8" s="7">
        <v>14.0</v>
      </c>
      <c r="D8" s="7">
        <v>13.0</v>
      </c>
      <c r="E8" s="7">
        <v>1.0</v>
      </c>
      <c r="F8" s="7" t="s">
        <v>491</v>
      </c>
      <c r="H8" s="7">
        <v>1.0</v>
      </c>
      <c r="I8" s="7">
        <v>1.0</v>
      </c>
      <c r="J8" s="7">
        <v>1.0</v>
      </c>
      <c r="K8" s="7">
        <v>8.0</v>
      </c>
      <c r="L8" s="7">
        <v>2.0</v>
      </c>
      <c r="M8" s="7">
        <v>1.0</v>
      </c>
      <c r="N8" s="7">
        <v>2.0</v>
      </c>
      <c r="O8" s="7" t="s">
        <v>492</v>
      </c>
      <c r="P8" s="7" t="s">
        <v>493</v>
      </c>
      <c r="Q8" s="7" t="s">
        <v>494</v>
      </c>
      <c r="R8" s="7" t="s">
        <v>495</v>
      </c>
      <c r="S8" s="7" t="s">
        <v>496</v>
      </c>
      <c r="T8" s="7">
        <v>10.0</v>
      </c>
      <c r="U8" s="8"/>
      <c r="V8" s="8"/>
      <c r="W8" s="8"/>
      <c r="X8" s="8"/>
      <c r="Y8" s="8"/>
      <c r="Z8" s="8"/>
      <c r="AA8" s="8"/>
    </row>
    <row r="9">
      <c r="A9" s="7">
        <v>6.0</v>
      </c>
      <c r="B9" s="7" t="s">
        <v>170</v>
      </c>
      <c r="C9" s="7">
        <v>19.0</v>
      </c>
      <c r="D9" s="7">
        <v>15.0</v>
      </c>
      <c r="E9" s="7">
        <v>4.0</v>
      </c>
      <c r="F9" s="7" t="s">
        <v>497</v>
      </c>
      <c r="G9" s="7">
        <v>2.0</v>
      </c>
      <c r="H9" s="7">
        <v>1.0</v>
      </c>
      <c r="I9" s="8"/>
      <c r="J9" s="7">
        <v>2.0</v>
      </c>
      <c r="K9" s="7">
        <v>2.0</v>
      </c>
      <c r="L9" s="7">
        <v>3.0</v>
      </c>
      <c r="M9" s="8"/>
      <c r="N9" s="7">
        <v>5.0</v>
      </c>
      <c r="O9" s="7" t="s">
        <v>498</v>
      </c>
      <c r="P9" s="7" t="s">
        <v>499</v>
      </c>
      <c r="Q9" s="7" t="s">
        <v>500</v>
      </c>
      <c r="R9" s="7" t="s">
        <v>501</v>
      </c>
      <c r="S9" s="7" t="s">
        <v>40</v>
      </c>
      <c r="T9" s="7">
        <v>0.0</v>
      </c>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sheetData>
  <mergeCells count="1">
    <mergeCell ref="A2:F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17.38"/>
    <col customWidth="1" min="4" max="4" width="13.0"/>
    <col customWidth="1" min="5" max="5" width="12.13"/>
    <col customWidth="1" min="6" max="6" width="43.0"/>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4.88"/>
    <col customWidth="1" min="16" max="16" width="55.0"/>
    <col customWidth="1" min="17" max="17" width="19.63"/>
    <col customWidth="1" min="18" max="18" width="22.88"/>
    <col customWidth="1" min="19" max="19" width="17.63"/>
    <col customWidth="1" min="20" max="20" width="21.5"/>
    <col customWidth="1" min="21" max="23" width="10.75"/>
  </cols>
  <sheetData>
    <row r="1">
      <c r="A1" s="1"/>
      <c r="B1" s="40"/>
      <c r="C1" s="40"/>
      <c r="D1" s="40"/>
      <c r="E1" s="40"/>
      <c r="F1" s="40"/>
      <c r="G1" s="39"/>
      <c r="H1" s="39"/>
      <c r="I1" s="39"/>
      <c r="J1" s="39"/>
      <c r="K1" s="39"/>
      <c r="L1" s="39"/>
      <c r="M1" s="40"/>
      <c r="N1" s="40"/>
      <c r="O1" s="40"/>
      <c r="P1" s="40"/>
      <c r="Q1" s="7"/>
      <c r="R1" s="7"/>
      <c r="S1" s="39"/>
      <c r="T1" s="39"/>
      <c r="U1" s="8"/>
      <c r="V1" s="8"/>
      <c r="W1" s="8"/>
      <c r="X1" s="8"/>
      <c r="Y1" s="8"/>
      <c r="Z1" s="8"/>
      <c r="AA1" s="8"/>
    </row>
    <row r="2" ht="39.75" customHeight="1">
      <c r="A2" s="38" t="s">
        <v>502</v>
      </c>
      <c r="G2" s="39"/>
      <c r="H2" s="39"/>
      <c r="I2" s="39"/>
      <c r="J2" s="39"/>
      <c r="K2" s="39"/>
      <c r="L2" s="39"/>
      <c r="M2" s="40"/>
      <c r="N2" s="40"/>
      <c r="O2" s="40"/>
      <c r="P2" s="40"/>
      <c r="Q2" s="7"/>
      <c r="R2" s="7"/>
      <c r="S2" s="39"/>
      <c r="T2" s="39"/>
      <c r="U2" s="8"/>
      <c r="V2" s="8"/>
      <c r="W2" s="8"/>
      <c r="X2" s="8"/>
      <c r="Y2" s="8"/>
      <c r="Z2" s="8"/>
      <c r="AA2" s="8"/>
    </row>
    <row r="3">
      <c r="A3" s="2" t="s">
        <v>231</v>
      </c>
      <c r="B3" s="2" t="s">
        <v>3</v>
      </c>
      <c r="C3" s="4" t="s">
        <v>232</v>
      </c>
      <c r="D3" s="4" t="s">
        <v>233</v>
      </c>
      <c r="E3" s="2" t="s">
        <v>234</v>
      </c>
      <c r="F3" s="2" t="s">
        <v>235</v>
      </c>
      <c r="G3" s="4" t="s">
        <v>16</v>
      </c>
      <c r="H3" s="4" t="s">
        <v>17</v>
      </c>
      <c r="I3" s="4" t="s">
        <v>18</v>
      </c>
      <c r="J3" s="4" t="s">
        <v>19</v>
      </c>
      <c r="K3" s="4" t="s">
        <v>20</v>
      </c>
      <c r="L3" s="4" t="s">
        <v>21</v>
      </c>
      <c r="M3" s="2" t="s">
        <v>22</v>
      </c>
      <c r="N3" s="2" t="s">
        <v>23</v>
      </c>
      <c r="O3" s="2" t="s">
        <v>236</v>
      </c>
      <c r="P3" s="2" t="s">
        <v>237</v>
      </c>
      <c r="Q3" s="3" t="s">
        <v>238</v>
      </c>
      <c r="R3" s="3" t="s">
        <v>239</v>
      </c>
      <c r="S3" s="4" t="s">
        <v>240</v>
      </c>
      <c r="T3" s="41" t="s">
        <v>241</v>
      </c>
      <c r="U3" s="5"/>
      <c r="V3" s="5"/>
      <c r="W3" s="5"/>
      <c r="X3" s="5"/>
      <c r="Y3" s="5"/>
      <c r="Z3" s="5"/>
      <c r="AA3" s="5"/>
    </row>
    <row r="4">
      <c r="A4" s="7">
        <v>1.0</v>
      </c>
      <c r="B4" s="7" t="s">
        <v>503</v>
      </c>
      <c r="C4" s="7">
        <v>12.0</v>
      </c>
      <c r="D4" s="7">
        <v>9.5</v>
      </c>
      <c r="E4" s="7">
        <v>2.5</v>
      </c>
      <c r="F4" s="7" t="s">
        <v>504</v>
      </c>
      <c r="G4" s="7">
        <v>1.0</v>
      </c>
      <c r="H4" s="7"/>
      <c r="I4" s="8"/>
      <c r="J4" s="8"/>
      <c r="K4" s="8"/>
      <c r="L4" s="7">
        <v>8.5</v>
      </c>
      <c r="M4" s="7"/>
      <c r="N4" s="7"/>
      <c r="O4" s="7" t="s">
        <v>505</v>
      </c>
      <c r="P4" s="7" t="s">
        <v>506</v>
      </c>
      <c r="Q4" s="7" t="s">
        <v>507</v>
      </c>
      <c r="R4" s="7" t="s">
        <v>508</v>
      </c>
      <c r="S4" s="7" t="s">
        <v>509</v>
      </c>
      <c r="T4" s="7" t="s">
        <v>325</v>
      </c>
      <c r="U4" s="8"/>
      <c r="V4" s="8"/>
      <c r="W4" s="8"/>
      <c r="X4" s="8"/>
      <c r="Y4" s="8"/>
      <c r="Z4" s="8"/>
      <c r="AA4" s="8"/>
    </row>
    <row r="5">
      <c r="A5" s="7">
        <v>2.0</v>
      </c>
      <c r="B5" s="7" t="s">
        <v>510</v>
      </c>
      <c r="C5" s="7">
        <v>9.5</v>
      </c>
      <c r="D5" s="7">
        <v>8.5</v>
      </c>
      <c r="E5" s="7">
        <v>1.0</v>
      </c>
      <c r="F5" s="7" t="s">
        <v>511</v>
      </c>
      <c r="G5" s="7">
        <v>2.5</v>
      </c>
      <c r="H5" s="7">
        <v>1.5</v>
      </c>
      <c r="I5" s="8"/>
      <c r="J5" s="7">
        <v>1.5</v>
      </c>
      <c r="K5" s="8"/>
      <c r="L5" s="7">
        <v>2.0</v>
      </c>
      <c r="M5" s="7">
        <v>1.0</v>
      </c>
      <c r="N5" s="8"/>
      <c r="O5" s="7" t="s">
        <v>512</v>
      </c>
      <c r="P5" s="7" t="s">
        <v>513</v>
      </c>
      <c r="Q5" s="7" t="s">
        <v>514</v>
      </c>
      <c r="R5" s="7" t="s">
        <v>515</v>
      </c>
      <c r="S5" s="7" t="s">
        <v>516</v>
      </c>
      <c r="T5" s="7" t="s">
        <v>517</v>
      </c>
      <c r="U5" s="8"/>
      <c r="V5" s="8"/>
      <c r="W5" s="8"/>
      <c r="X5" s="8"/>
      <c r="Y5" s="8"/>
      <c r="Z5" s="8"/>
      <c r="AA5" s="8"/>
    </row>
    <row r="6">
      <c r="A6" s="7">
        <v>3.0</v>
      </c>
      <c r="B6" s="7" t="s">
        <v>518</v>
      </c>
      <c r="C6" s="7">
        <v>19.5</v>
      </c>
      <c r="D6" s="7">
        <v>16.5</v>
      </c>
      <c r="E6" s="7">
        <v>2.0</v>
      </c>
      <c r="F6" s="7" t="s">
        <v>519</v>
      </c>
      <c r="G6" s="7">
        <v>1.0</v>
      </c>
      <c r="H6" s="7"/>
      <c r="I6" s="7">
        <v>1.5</v>
      </c>
      <c r="J6" s="7">
        <v>6.0</v>
      </c>
      <c r="K6" s="7">
        <v>4.0</v>
      </c>
      <c r="L6" s="7">
        <v>1.5</v>
      </c>
      <c r="M6" s="7">
        <v>3.0</v>
      </c>
      <c r="N6" s="7">
        <v>1.0</v>
      </c>
      <c r="O6" s="7" t="s">
        <v>520</v>
      </c>
      <c r="P6" s="7" t="s">
        <v>521</v>
      </c>
      <c r="Q6" s="7" t="s">
        <v>522</v>
      </c>
      <c r="R6" s="7" t="s">
        <v>523</v>
      </c>
      <c r="S6" s="7" t="s">
        <v>524</v>
      </c>
      <c r="T6" s="7" t="s">
        <v>325</v>
      </c>
      <c r="U6" s="8"/>
      <c r="V6" s="8"/>
      <c r="W6" s="8"/>
      <c r="X6" s="8"/>
      <c r="Y6" s="8"/>
      <c r="Z6" s="8"/>
      <c r="AA6" s="8"/>
    </row>
    <row r="7">
      <c r="A7" s="7">
        <v>4.0</v>
      </c>
      <c r="B7" s="7" t="s">
        <v>128</v>
      </c>
      <c r="C7" s="7">
        <v>11.5</v>
      </c>
      <c r="D7" s="7">
        <v>9.5</v>
      </c>
      <c r="E7" s="7">
        <v>2.0</v>
      </c>
      <c r="F7" s="7" t="s">
        <v>525</v>
      </c>
      <c r="G7" s="8"/>
      <c r="H7" s="8"/>
      <c r="I7" s="7">
        <v>0.5</v>
      </c>
      <c r="J7" s="7">
        <v>5.0</v>
      </c>
      <c r="K7" s="7">
        <v>2.0</v>
      </c>
      <c r="L7" s="7">
        <v>2.0</v>
      </c>
      <c r="M7" s="8"/>
      <c r="N7" s="8"/>
      <c r="O7" s="7" t="s">
        <v>526</v>
      </c>
      <c r="P7" s="7" t="s">
        <v>527</v>
      </c>
      <c r="Q7" s="7" t="s">
        <v>528</v>
      </c>
      <c r="R7" s="7" t="s">
        <v>529</v>
      </c>
      <c r="S7" s="7" t="s">
        <v>530</v>
      </c>
      <c r="T7" s="7" t="s">
        <v>249</v>
      </c>
      <c r="U7" s="8"/>
      <c r="V7" s="8"/>
      <c r="W7" s="8"/>
      <c r="X7" s="8"/>
      <c r="Y7" s="8"/>
      <c r="Z7" s="8"/>
      <c r="AA7" s="8"/>
    </row>
    <row r="8">
      <c r="A8" s="7">
        <v>5.0</v>
      </c>
      <c r="B8" s="15" t="s">
        <v>139</v>
      </c>
      <c r="C8" s="7">
        <v>13.0</v>
      </c>
      <c r="D8" s="7">
        <v>12.0</v>
      </c>
      <c r="E8" s="7">
        <v>1.0</v>
      </c>
      <c r="F8" s="7" t="s">
        <v>531</v>
      </c>
      <c r="G8" s="8"/>
      <c r="H8" s="8"/>
      <c r="I8" s="8"/>
      <c r="J8" s="7">
        <v>5.0</v>
      </c>
      <c r="K8" s="7">
        <v>3.5</v>
      </c>
      <c r="L8" s="7">
        <v>3.0</v>
      </c>
      <c r="M8" s="7">
        <v>0.5</v>
      </c>
      <c r="N8" s="8"/>
      <c r="O8" s="7" t="s">
        <v>532</v>
      </c>
      <c r="P8" s="7" t="s">
        <v>533</v>
      </c>
      <c r="Q8" s="7" t="s">
        <v>534</v>
      </c>
      <c r="R8" s="7" t="s">
        <v>535</v>
      </c>
      <c r="S8" s="7" t="s">
        <v>536</v>
      </c>
      <c r="T8" s="7" t="s">
        <v>537</v>
      </c>
      <c r="U8" s="8"/>
      <c r="V8" s="8"/>
      <c r="W8" s="8"/>
      <c r="X8" s="8"/>
      <c r="Y8" s="8"/>
      <c r="Z8" s="8"/>
      <c r="AA8" s="8"/>
    </row>
    <row r="9">
      <c r="A9" s="7">
        <v>6.0</v>
      </c>
      <c r="B9" s="7" t="s">
        <v>170</v>
      </c>
      <c r="C9" s="8">
        <f>SUM(D9,E9)</f>
        <v>17.5</v>
      </c>
      <c r="D9" s="7">
        <f>SUM(G9:N9)</f>
        <v>13.5</v>
      </c>
      <c r="E9" s="7">
        <v>4.0</v>
      </c>
      <c r="F9" s="7" t="s">
        <v>538</v>
      </c>
      <c r="G9" s="8"/>
      <c r="H9" s="8"/>
      <c r="I9" s="8"/>
      <c r="J9" s="7">
        <v>5.0</v>
      </c>
      <c r="K9" s="7">
        <v>3.5</v>
      </c>
      <c r="L9" s="7">
        <v>3.5</v>
      </c>
      <c r="M9" s="7"/>
      <c r="N9" s="7">
        <v>1.5</v>
      </c>
      <c r="O9" s="7" t="s">
        <v>539</v>
      </c>
      <c r="P9" s="7" t="s">
        <v>540</v>
      </c>
      <c r="Q9" s="8"/>
      <c r="R9" s="8"/>
      <c r="S9" s="7" t="s">
        <v>43</v>
      </c>
      <c r="T9" s="7" t="s">
        <v>43</v>
      </c>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sheetData>
  <mergeCells count="1">
    <mergeCell ref="A2:F2"/>
  </mergeCells>
  <drawing r:id="rId1"/>
</worksheet>
</file>